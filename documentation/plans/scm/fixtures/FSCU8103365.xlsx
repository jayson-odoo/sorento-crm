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407\Desktop\"/>
    </mc:Choice>
  </mc:AlternateContent>
  <xr:revisionPtr revIDLastSave="0" documentId="8_{C752C89D-F81C-49DE-8588-AE47C38923D1}" xr6:coauthVersionLast="47" xr6:coauthVersionMax="47" xr10:uidLastSave="{00000000-0000-0000-0000-000000000000}"/>
  <bookViews>
    <workbookView xWindow="-120" yWindow="-120" windowWidth="20730" windowHeight="11160" xr2:uid="{A8BCEB66-1F46-4A05-9BB3-1AA9792FAAA8}"/>
  </bookViews>
  <sheets>
    <sheet name="RMB" sheetId="1" r:id="rId1"/>
  </sheets>
  <definedNames>
    <definedName name="_xlnm.Print_Titles" localSheetId="0">RMB!$15:$16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1" i="1" l="1"/>
  <c r="F81" i="1"/>
  <c r="H79" i="1"/>
  <c r="G79" i="1"/>
  <c r="F79" i="1"/>
  <c r="U78" i="1"/>
  <c r="U77" i="1"/>
  <c r="U76" i="1"/>
  <c r="U75" i="1"/>
  <c r="U74" i="1"/>
  <c r="Q74" i="1"/>
  <c r="P74" i="1"/>
  <c r="L74" i="1"/>
  <c r="M74" i="1" s="1"/>
  <c r="U73" i="1"/>
  <c r="Q73" i="1"/>
  <c r="P73" i="1"/>
  <c r="M73" i="1"/>
  <c r="L73" i="1"/>
  <c r="U72" i="1"/>
  <c r="Q72" i="1"/>
  <c r="P72" i="1"/>
  <c r="L72" i="1"/>
  <c r="M72" i="1" s="1"/>
  <c r="U71" i="1"/>
  <c r="Q71" i="1"/>
  <c r="P71" i="1"/>
  <c r="M71" i="1"/>
  <c r="L71" i="1"/>
  <c r="U70" i="1"/>
  <c r="Q70" i="1"/>
  <c r="P70" i="1"/>
  <c r="L70" i="1"/>
  <c r="M70" i="1" s="1"/>
  <c r="U69" i="1"/>
  <c r="Q69" i="1"/>
  <c r="P69" i="1"/>
  <c r="M69" i="1"/>
  <c r="L69" i="1"/>
  <c r="U68" i="1"/>
  <c r="T68" i="1"/>
  <c r="Q68" i="1"/>
  <c r="P68" i="1"/>
  <c r="M68" i="1"/>
  <c r="L68" i="1"/>
  <c r="U67" i="1"/>
  <c r="T67" i="1"/>
  <c r="Q67" i="1"/>
  <c r="P67" i="1"/>
  <c r="M67" i="1"/>
  <c r="L67" i="1"/>
  <c r="T66" i="1"/>
  <c r="U66" i="1" s="1"/>
  <c r="Q66" i="1"/>
  <c r="Q79" i="1" s="1"/>
  <c r="P66" i="1"/>
  <c r="P79" i="1" s="1"/>
  <c r="L66" i="1"/>
  <c r="M66" i="1" s="1"/>
  <c r="M79" i="1" s="1"/>
  <c r="H65" i="1"/>
  <c r="G65" i="1"/>
  <c r="F65" i="1"/>
  <c r="U64" i="1"/>
  <c r="V64" i="1" s="1"/>
  <c r="V65" i="1" s="1"/>
  <c r="Q64" i="1"/>
  <c r="Q65" i="1" s="1"/>
  <c r="P64" i="1"/>
  <c r="P65" i="1" s="1"/>
  <c r="L64" i="1"/>
  <c r="M64" i="1" s="1"/>
  <c r="M65" i="1" s="1"/>
  <c r="H63" i="1"/>
  <c r="G63" i="1"/>
  <c r="F63" i="1"/>
  <c r="U62" i="1"/>
  <c r="V62" i="1" s="1"/>
  <c r="V63" i="1" s="1"/>
  <c r="Q62" i="1"/>
  <c r="Q63" i="1" s="1"/>
  <c r="P62" i="1"/>
  <c r="P63" i="1" s="1"/>
  <c r="L62" i="1"/>
  <c r="M62" i="1" s="1"/>
  <c r="M63" i="1" s="1"/>
  <c r="U61" i="1"/>
  <c r="H61" i="1"/>
  <c r="G61" i="1"/>
  <c r="F61" i="1"/>
  <c r="U60" i="1"/>
  <c r="Q60" i="1"/>
  <c r="P60" i="1"/>
  <c r="M60" i="1"/>
  <c r="L60" i="1"/>
  <c r="U59" i="1"/>
  <c r="Q59" i="1"/>
  <c r="P59" i="1"/>
  <c r="L59" i="1"/>
  <c r="M59" i="1" s="1"/>
  <c r="U58" i="1"/>
  <c r="V58" i="1" s="1"/>
  <c r="V61" i="1" s="1"/>
  <c r="Q58" i="1"/>
  <c r="Q61" i="1" s="1"/>
  <c r="P58" i="1"/>
  <c r="P61" i="1" s="1"/>
  <c r="L58" i="1"/>
  <c r="M58" i="1" s="1"/>
  <c r="M61" i="1" s="1"/>
  <c r="H57" i="1"/>
  <c r="G57" i="1"/>
  <c r="F57" i="1"/>
  <c r="U56" i="1"/>
  <c r="Q56" i="1"/>
  <c r="P56" i="1"/>
  <c r="M56" i="1"/>
  <c r="L56" i="1"/>
  <c r="U55" i="1"/>
  <c r="Q55" i="1"/>
  <c r="P55" i="1"/>
  <c r="L55" i="1"/>
  <c r="M55" i="1" s="1"/>
  <c r="U54" i="1"/>
  <c r="Q54" i="1"/>
  <c r="P54" i="1"/>
  <c r="M54" i="1"/>
  <c r="L54" i="1"/>
  <c r="U53" i="1"/>
  <c r="Q53" i="1"/>
  <c r="P53" i="1"/>
  <c r="L53" i="1"/>
  <c r="M53" i="1" s="1"/>
  <c r="U52" i="1"/>
  <c r="Q52" i="1"/>
  <c r="P52" i="1"/>
  <c r="M52" i="1"/>
  <c r="L52" i="1"/>
  <c r="U51" i="1"/>
  <c r="Q51" i="1"/>
  <c r="P51" i="1"/>
  <c r="L51" i="1"/>
  <c r="M51" i="1" s="1"/>
  <c r="Q50" i="1"/>
  <c r="P50" i="1"/>
  <c r="L50" i="1"/>
  <c r="M50" i="1" s="1"/>
  <c r="F50" i="1"/>
  <c r="U49" i="1"/>
  <c r="Q49" i="1"/>
  <c r="P49" i="1"/>
  <c r="L49" i="1"/>
  <c r="M49" i="1" s="1"/>
  <c r="U48" i="1"/>
  <c r="Q48" i="1"/>
  <c r="P48" i="1"/>
  <c r="M48" i="1"/>
  <c r="L48" i="1"/>
  <c r="U47" i="1"/>
  <c r="Q47" i="1"/>
  <c r="P47" i="1"/>
  <c r="L47" i="1"/>
  <c r="M47" i="1" s="1"/>
  <c r="U46" i="1"/>
  <c r="Q46" i="1"/>
  <c r="P46" i="1"/>
  <c r="M46" i="1"/>
  <c r="L46" i="1"/>
  <c r="U45" i="1"/>
  <c r="Q45" i="1"/>
  <c r="P45" i="1"/>
  <c r="L45" i="1"/>
  <c r="M45" i="1" s="1"/>
  <c r="U44" i="1"/>
  <c r="U43" i="1"/>
  <c r="Q43" i="1"/>
  <c r="P43" i="1"/>
  <c r="L43" i="1"/>
  <c r="M43" i="1" s="1"/>
  <c r="U42" i="1"/>
  <c r="Q42" i="1"/>
  <c r="P42" i="1"/>
  <c r="M42" i="1"/>
  <c r="L42" i="1"/>
  <c r="U41" i="1"/>
  <c r="Q41" i="1"/>
  <c r="P41" i="1"/>
  <c r="L41" i="1"/>
  <c r="M41" i="1" s="1"/>
  <c r="U40" i="1"/>
  <c r="Q40" i="1"/>
  <c r="P40" i="1"/>
  <c r="M40" i="1"/>
  <c r="L40" i="1"/>
  <c r="U39" i="1"/>
  <c r="U38" i="1"/>
  <c r="Q38" i="1"/>
  <c r="P38" i="1"/>
  <c r="M38" i="1"/>
  <c r="L38" i="1"/>
  <c r="U37" i="1"/>
  <c r="U36" i="1"/>
  <c r="V36" i="1" s="1"/>
  <c r="V57" i="1" s="1"/>
  <c r="Q36" i="1"/>
  <c r="Q57" i="1" s="1"/>
  <c r="P36" i="1"/>
  <c r="P57" i="1" s="1"/>
  <c r="L36" i="1"/>
  <c r="M36" i="1" s="1"/>
  <c r="G35" i="1"/>
  <c r="F35" i="1"/>
  <c r="U34" i="1"/>
  <c r="M34" i="1"/>
  <c r="L34" i="1"/>
  <c r="H34" i="1"/>
  <c r="P34" i="1" s="1"/>
  <c r="U33" i="1"/>
  <c r="L33" i="1"/>
  <c r="H33" i="1"/>
  <c r="Q33" i="1" s="1"/>
  <c r="U32" i="1"/>
  <c r="M32" i="1"/>
  <c r="L32" i="1"/>
  <c r="H32" i="1"/>
  <c r="P32" i="1" s="1"/>
  <c r="U31" i="1"/>
  <c r="L31" i="1"/>
  <c r="H31" i="1"/>
  <c r="Q31" i="1" s="1"/>
  <c r="U30" i="1"/>
  <c r="V30" i="1" s="1"/>
  <c r="V35" i="1" s="1"/>
  <c r="P30" i="1"/>
  <c r="L30" i="1"/>
  <c r="H30" i="1"/>
  <c r="Q30" i="1" s="1"/>
  <c r="P29" i="1"/>
  <c r="G29" i="1"/>
  <c r="F29" i="1"/>
  <c r="U28" i="1"/>
  <c r="V26" i="1" s="1"/>
  <c r="V29" i="1" s="1"/>
  <c r="L28" i="1"/>
  <c r="H28" i="1"/>
  <c r="Q28" i="1" s="1"/>
  <c r="U27" i="1"/>
  <c r="Q27" i="1"/>
  <c r="L27" i="1"/>
  <c r="M27" i="1" s="1"/>
  <c r="H27" i="1"/>
  <c r="U26" i="1"/>
  <c r="U84" i="1" s="1"/>
  <c r="Q26" i="1"/>
  <c r="L26" i="1"/>
  <c r="M26" i="1" s="1"/>
  <c r="H26" i="1"/>
  <c r="H29" i="1" s="1"/>
  <c r="G25" i="1"/>
  <c r="F25" i="1"/>
  <c r="U24" i="1"/>
  <c r="P24" i="1"/>
  <c r="L24" i="1"/>
  <c r="M24" i="1" s="1"/>
  <c r="H24" i="1"/>
  <c r="Q24" i="1" s="1"/>
  <c r="U23" i="1"/>
  <c r="P23" i="1"/>
  <c r="L23" i="1"/>
  <c r="H23" i="1"/>
  <c r="Q23" i="1" s="1"/>
  <c r="U22" i="1"/>
  <c r="P22" i="1"/>
  <c r="L22" i="1"/>
  <c r="M22" i="1" s="1"/>
  <c r="H22" i="1"/>
  <c r="Q22" i="1" s="1"/>
  <c r="U21" i="1"/>
  <c r="P21" i="1"/>
  <c r="L21" i="1"/>
  <c r="H21" i="1"/>
  <c r="Q21" i="1" s="1"/>
  <c r="U20" i="1"/>
  <c r="P20" i="1"/>
  <c r="L20" i="1"/>
  <c r="M20" i="1" s="1"/>
  <c r="H20" i="1"/>
  <c r="Q20" i="1" s="1"/>
  <c r="U19" i="1"/>
  <c r="P19" i="1"/>
  <c r="L19" i="1"/>
  <c r="H19" i="1"/>
  <c r="Q19" i="1" s="1"/>
  <c r="V18" i="1"/>
  <c r="V25" i="1" s="1"/>
  <c r="U18" i="1"/>
  <c r="U81" i="1" s="1"/>
  <c r="M18" i="1"/>
  <c r="L18" i="1"/>
  <c r="H18" i="1"/>
  <c r="H81" i="1" s="1"/>
  <c r="O84" i="1" l="1"/>
  <c r="Q29" i="1"/>
  <c r="M57" i="1"/>
  <c r="U79" i="1"/>
  <c r="V66" i="1"/>
  <c r="V79" i="1" s="1"/>
  <c r="Q18" i="1"/>
  <c r="M28" i="1"/>
  <c r="M84" i="1" s="1"/>
  <c r="M31" i="1"/>
  <c r="Q32" i="1"/>
  <c r="Q35" i="1" s="1"/>
  <c r="M33" i="1"/>
  <c r="Q34" i="1"/>
  <c r="H35" i="1"/>
  <c r="U35" i="1"/>
  <c r="U63" i="1"/>
  <c r="M19" i="1"/>
  <c r="M25" i="1" s="1"/>
  <c r="M21" i="1"/>
  <c r="M23" i="1"/>
  <c r="M83" i="1" s="1"/>
  <c r="H25" i="1"/>
  <c r="U25" i="1"/>
  <c r="U29" i="1"/>
  <c r="M30" i="1"/>
  <c r="M35" i="1" s="1"/>
  <c r="P31" i="1"/>
  <c r="P35" i="1" s="1"/>
  <c r="P33" i="1"/>
  <c r="U83" i="1"/>
  <c r="U57" i="1"/>
  <c r="U65" i="1"/>
  <c r="P18" i="1"/>
  <c r="M85" i="1" l="1"/>
  <c r="U85" i="1"/>
  <c r="O83" i="1"/>
  <c r="O85" i="1" s="1"/>
  <c r="M29" i="1"/>
  <c r="P25" i="1"/>
  <c r="P81" i="1"/>
  <c r="Q81" i="1"/>
  <c r="Q25" i="1"/>
  <c r="M81" i="1"/>
  <c r="N84" i="1" s="1"/>
  <c r="V81" i="1"/>
  <c r="N83" i="1" l="1"/>
  <c r="N85" i="1" s="1"/>
  <c r="P84" i="1"/>
  <c r="P83" i="1"/>
  <c r="P85" i="1" s="1"/>
</calcChain>
</file>

<file path=xl/sharedStrings.xml><?xml version="1.0" encoding="utf-8"?>
<sst xmlns="http://schemas.openxmlformats.org/spreadsheetml/2006/main" count="366" uniqueCount="154">
  <si>
    <t xml:space="preserve">LOADING : </t>
  </si>
  <si>
    <t>ETD :</t>
  </si>
  <si>
    <t xml:space="preserve">ETA : </t>
  </si>
  <si>
    <t>27/07/2026</t>
  </si>
  <si>
    <t>CONTAINER :</t>
  </si>
  <si>
    <t>FSCU8103365</t>
  </si>
  <si>
    <t xml:space="preserve">SEAL NO : </t>
  </si>
  <si>
    <t>J0713349</t>
  </si>
  <si>
    <t>SO :</t>
  </si>
  <si>
    <t>CNH1098313</t>
  </si>
  <si>
    <t>CONSIGNEE :</t>
  </si>
  <si>
    <t>SORENTO SDN BHD</t>
  </si>
  <si>
    <t>SHIPPER :</t>
  </si>
  <si>
    <t>SHENZHEN XINDESHENG TRADING CO.,LTD</t>
  </si>
  <si>
    <t xml:space="preserve">CHINA AGENT : </t>
  </si>
  <si>
    <t>ONE TOUCH</t>
  </si>
  <si>
    <t>FACTORY :</t>
  </si>
  <si>
    <t>AFANNI, CAIZHOU, KAILU, IDC, SANNORA, TECA, HONGJIE</t>
  </si>
  <si>
    <t xml:space="preserve">FREE DAYS : </t>
  </si>
  <si>
    <t>14 FREEDAYS</t>
  </si>
  <si>
    <t xml:space="preserve">DELIVERY WAREHOUSE : </t>
  </si>
  <si>
    <t>BRW</t>
  </si>
  <si>
    <t>FACTORY</t>
  </si>
  <si>
    <t>NO</t>
  </si>
  <si>
    <t>MODEL</t>
  </si>
  <si>
    <t>DESCRIPTION</t>
  </si>
  <si>
    <t>MATERIAL</t>
  </si>
  <si>
    <t>QTY</t>
  </si>
  <si>
    <t>PCS / CTN</t>
  </si>
  <si>
    <t>CTN QTY</t>
  </si>
  <si>
    <t>SIZE (CM)</t>
  </si>
  <si>
    <t>CBM
/ CTN</t>
  </si>
  <si>
    <t>TOTAL CBM</t>
  </si>
  <si>
    <t>NW</t>
  </si>
  <si>
    <t>GW</t>
  </si>
  <si>
    <t>TOTAL NW</t>
  </si>
  <si>
    <t>TOTAL GW</t>
  </si>
  <si>
    <t>LOGO</t>
  </si>
  <si>
    <t>REMARKS</t>
  </si>
  <si>
    <t>RMB</t>
  </si>
  <si>
    <t>TOTAL RM</t>
  </si>
  <si>
    <t>L</t>
  </si>
  <si>
    <t>W</t>
  </si>
  <si>
    <t>H</t>
  </si>
  <si>
    <t>KG</t>
  </si>
  <si>
    <t>AFFANNI 阿凡尼</t>
  </si>
  <si>
    <t>SRT79-SS-GM</t>
  </si>
  <si>
    <t>三叉水咀+喷枪（枪灰）</t>
  </si>
  <si>
    <t>不锈钢</t>
  </si>
  <si>
    <t>SORENTO</t>
  </si>
  <si>
    <t>SRTKT71SS-BL-NEW</t>
  </si>
  <si>
    <t>45*127抽拉菜盆龙头（哑黑）</t>
  </si>
  <si>
    <t>SRTKT71SS</t>
  </si>
  <si>
    <t>45*127抽拉菜盆龙头</t>
  </si>
  <si>
    <t>SRTKT72SS-NEW</t>
  </si>
  <si>
    <t>35*150单冷抽拉龙头（拉丝）</t>
  </si>
  <si>
    <t>SRT79-SS</t>
  </si>
  <si>
    <t>三叉水咀+喷枪</t>
  </si>
  <si>
    <t>SRT79-SS-BL</t>
  </si>
  <si>
    <t>三叉水咀+喷枪（哑黑）</t>
  </si>
  <si>
    <t>SRTKT1871SS</t>
  </si>
  <si>
    <t>32*115立式拧盖大弯管菜盆龙头</t>
  </si>
  <si>
    <t>AFFANNI 阿凡尼 (MOCHA)</t>
  </si>
  <si>
    <t>MKT7820SS-DIY</t>
  </si>
  <si>
    <t>45*110单冷抽拉菜盆龙头</t>
  </si>
  <si>
    <t>MOCHA</t>
  </si>
  <si>
    <t>MKT7820SS-BL-DIY</t>
  </si>
  <si>
    <t>45*110单冷抽拉菜盆龙头(哑黑）</t>
  </si>
  <si>
    <t>MKT7820SS-GM-DIY</t>
  </si>
  <si>
    <t>45*110单冷抽拉菜盆龙头（枪灰）</t>
  </si>
  <si>
    <t xml:space="preserve">CAIZHOU 彩洲 </t>
  </si>
  <si>
    <t>SRTWT6201</t>
    <phoneticPr fontId="18" type="noConversion"/>
  </si>
  <si>
    <t>水龙头</t>
    <phoneticPr fontId="18" type="noConversion"/>
  </si>
  <si>
    <t>铜制</t>
    <phoneticPr fontId="18" type="noConversion"/>
  </si>
  <si>
    <t>SRTWT6203-GM</t>
    <phoneticPr fontId="18" type="noConversion"/>
  </si>
  <si>
    <t>SRTWT6213-GM</t>
    <phoneticPr fontId="18" type="noConversion"/>
  </si>
  <si>
    <t>SRTWT6223-MBL</t>
    <phoneticPr fontId="18" type="noConversion"/>
  </si>
  <si>
    <t>KAILU 凯路</t>
  </si>
  <si>
    <t>SRTWT7443</t>
  </si>
  <si>
    <t>BASIN COLD TAP</t>
  </si>
  <si>
    <t>铜</t>
  </si>
  <si>
    <t>SRTWT8203</t>
  </si>
  <si>
    <t>SRTWT8258
-GM</t>
  </si>
  <si>
    <t>CONCEALED SHOWER COLD TAP</t>
  </si>
  <si>
    <t>SRTSC16</t>
  </si>
  <si>
    <t>WALL MOUNTED SHOWER UNION (SQUARE)</t>
  </si>
  <si>
    <t>SRTSC17-BL</t>
  </si>
  <si>
    <t>SRTWT5903</t>
  </si>
  <si>
    <t>BASIN MIXER</t>
  </si>
  <si>
    <t>SRTWT8214-BL</t>
  </si>
  <si>
    <t>SRTWT8214-GM</t>
  </si>
  <si>
    <t>SRTWT8239-GM</t>
  </si>
  <si>
    <t>SRTWT8267-GM</t>
  </si>
  <si>
    <t>SRTSC07</t>
  </si>
  <si>
    <t>SRTWT7301-BL</t>
  </si>
  <si>
    <t>Supplier 漏装，件数要扣除</t>
  </si>
  <si>
    <t>SRTWT8264-GM</t>
  </si>
  <si>
    <t>SRTWT7445-NEW</t>
  </si>
  <si>
    <t>SRTWT7445-LV-WEPLS</t>
  </si>
  <si>
    <t>SRTWT51030</t>
  </si>
  <si>
    <t>BATHTUB FREESTANDING MIXER TAP</t>
  </si>
  <si>
    <t>SRTEA803</t>
  </si>
  <si>
    <t>PILLAR MOUNTED ELBOW ACTION TAP</t>
  </si>
  <si>
    <t>KAILU 凯路 (MOCHA)</t>
  </si>
  <si>
    <t>MWT6705-GM</t>
  </si>
  <si>
    <t>MOCHA BRASS TALL BASIN COLD TAP (H27.5CM,GUN METAL)</t>
  </si>
  <si>
    <t>MWT6705-CR</t>
  </si>
  <si>
    <t>MOCHA BRASS TALL BASIN COLD TAP (H27.5CM, CHROME)</t>
  </si>
  <si>
    <t>MWT6906-GM</t>
  </si>
  <si>
    <t>MOCHA BASIN COLD TAP (GUN METAL)</t>
  </si>
  <si>
    <t>TECA 缔家</t>
  </si>
  <si>
    <t>VLDJC7207</t>
  </si>
  <si>
    <t>BATH TUB</t>
  </si>
  <si>
    <t>ACRYLIC</t>
  </si>
  <si>
    <t>SANDEL</t>
  </si>
  <si>
    <t>SANNORA 圣罗兰</t>
  </si>
  <si>
    <t>SRTBT1872-16</t>
  </si>
  <si>
    <t>HONGJIE 鸿洁</t>
  </si>
  <si>
    <t>SRTBF31417</t>
  </si>
  <si>
    <t>浴室柜(含盆、下水器、水龙头、镜子、层架)</t>
  </si>
  <si>
    <t>不锈钢、铜、陶瓷、玻璃</t>
  </si>
  <si>
    <t>NEED DEDUCT ADVANCE</t>
  </si>
  <si>
    <t>CBF66413</t>
  </si>
  <si>
    <t>浴室柜(含盆、下水器、龙头)</t>
  </si>
  <si>
    <t>不锈钢、铜、陶瓷</t>
  </si>
  <si>
    <t>SRTBF11618</t>
  </si>
  <si>
    <t>浴室柜(含盆、下水)</t>
  </si>
  <si>
    <t>不锈钢、陶瓷、铜</t>
  </si>
  <si>
    <t>-</t>
  </si>
  <si>
    <t>FOR PROJECT VANTREX DEVELOPMENT, NEED REWORK ADD IN WASTE (SRTW2600)</t>
  </si>
  <si>
    <t>SRTWT5837</t>
  </si>
  <si>
    <t>龙头</t>
  </si>
  <si>
    <t>不锈钢、铜、</t>
  </si>
  <si>
    <t>CB65SS</t>
  </si>
  <si>
    <t>CABANA</t>
  </si>
  <si>
    <t>SRTWT6851-GY</t>
  </si>
  <si>
    <t>CB61SS-NL</t>
  </si>
  <si>
    <t>SRTWT7447-RG</t>
  </si>
  <si>
    <t>CB66SS-NL</t>
  </si>
  <si>
    <t>CB61SS-BL</t>
  </si>
  <si>
    <t>下水</t>
  </si>
  <si>
    <t>SRTW2600</t>
  </si>
  <si>
    <t>SRTW2600-BL</t>
  </si>
  <si>
    <t>-</t>
    <phoneticPr fontId="6" type="noConversion"/>
  </si>
  <si>
    <t>开平水口+南海丹灶</t>
  </si>
  <si>
    <t>粤ADE665</t>
  </si>
  <si>
    <t>订单号:CNH1098313</t>
  </si>
  <si>
    <t>CBM</t>
  </si>
  <si>
    <t>CLEARANCE</t>
  </si>
  <si>
    <t>INSURANCE</t>
  </si>
  <si>
    <t>CHINA FREIGHT</t>
  </si>
  <si>
    <t>TOTAL AMOUNT</t>
  </si>
  <si>
    <t>柜号:FSCU8103365</t>
  </si>
  <si>
    <t>封号:J0713349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</si>
</sst>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14409]dd/mm/yyyy;@"/>
    <numFmt numFmtId="165" formatCode="0.00_);[Red]\(0.00\)"/>
    <numFmt numFmtId="166" formatCode="0_);[Red]\(0\)"/>
    <numFmt numFmtId="167" formatCode="0.000"/>
    <numFmt numFmtId="168" formatCode="0.00;[Red]0.00"/>
    <numFmt numFmtId="169" formatCode="0.000_ "/>
    <numFmt numFmtId="170" formatCode="0.000_);[Red]\(0.000\)"/>
    <numFmt numFmtId="171" formatCode="0.00_ "/>
    <numFmt numFmtId="172" formatCode="_ * #,##0.00_ ;_ * \-#,##0.00_ ;_ * &quot;-&quot;??_ ;_ @_ "/>
    <numFmt numFmtId="173" formatCode="0_ "/>
    <numFmt numFmtId="174" formatCode="#,##0.00;[Red]#,##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0"/>
      <name val="Arial"/>
      <family val="2"/>
    </font>
    <font>
      <b/>
      <u/>
      <sz val="12"/>
      <color indexed="8"/>
      <name val="Calibri"/>
      <family val="2"/>
    </font>
    <font>
      <b/>
      <u/>
      <sz val="12"/>
      <color indexed="1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8"/>
      <color indexed="8"/>
      <name val="Calibri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2" fontId="1" fillId="0" borderId="0" applyFont="0" applyFill="0" applyBorder="0" applyAlignment="0" applyProtection="0">
      <alignment vertical="center"/>
    </xf>
  </cellStyleXfs>
  <cellXfs count="238">
    <xf numFmtId="0" fontId="0" fillId="0" borderId="0" xfId="0"/>
    <xf numFmtId="0" fontId="3" fillId="0" borderId="0" xfId="1" applyFont="1" applyAlignment="1">
      <alignment vertical="center"/>
    </xf>
    <xf numFmtId="164" fontId="3" fillId="0" borderId="0" xfId="1" quotePrefix="1" applyNumberFormat="1" applyFont="1" applyAlignment="1">
      <alignment horizontal="left" vertical="center"/>
    </xf>
    <xf numFmtId="164" fontId="3" fillId="0" borderId="0" xfId="1" applyNumberFormat="1" applyFont="1" applyAlignment="1">
      <alignment horizontal="left" vertical="center"/>
    </xf>
    <xf numFmtId="14" fontId="3" fillId="0" borderId="0" xfId="1" applyNumberFormat="1" applyFont="1" applyAlignment="1">
      <alignment vertical="center" wrapText="1"/>
    </xf>
    <xf numFmtId="0" fontId="4" fillId="0" borderId="0" xfId="2" applyFont="1">
      <alignment vertical="center"/>
    </xf>
    <xf numFmtId="165" fontId="4" fillId="0" borderId="0" xfId="2" applyNumberFormat="1" applyFont="1">
      <alignment vertical="center"/>
    </xf>
    <xf numFmtId="165" fontId="5" fillId="0" borderId="0" xfId="2" applyNumberFormat="1" applyFont="1">
      <alignment vertical="center"/>
    </xf>
    <xf numFmtId="165" fontId="4" fillId="0" borderId="0" xfId="2" applyNumberFormat="1" applyFont="1" applyAlignment="1">
      <alignment horizontal="center" vertical="center"/>
    </xf>
    <xf numFmtId="4" fontId="4" fillId="0" borderId="0" xfId="2" applyNumberFormat="1" applyFont="1">
      <alignment vertical="center"/>
    </xf>
    <xf numFmtId="4" fontId="6" fillId="0" borderId="0" xfId="2" applyNumberFormat="1" applyFont="1">
      <alignment vertical="center"/>
    </xf>
    <xf numFmtId="4" fontId="7" fillId="0" borderId="0" xfId="2" applyNumberFormat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14" fontId="3" fillId="0" borderId="0" xfId="1" quotePrefix="1" applyNumberFormat="1" applyFont="1" applyAlignment="1">
      <alignment horizontal="left" vertical="center"/>
    </xf>
    <xf numFmtId="14" fontId="3" fillId="0" borderId="0" xfId="1" applyNumberFormat="1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0" fontId="9" fillId="0" borderId="0" xfId="1" applyFont="1" applyAlignment="1">
      <alignment vertical="center"/>
    </xf>
    <xf numFmtId="0" fontId="10" fillId="0" borderId="0" xfId="3" quotePrefix="1" applyFo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quotePrefix="1" applyFont="1" applyFill="1" applyAlignment="1">
      <alignment horizontal="left" vertical="center"/>
    </xf>
    <xf numFmtId="0" fontId="3" fillId="2" borderId="0" xfId="1" applyFont="1" applyFill="1" applyAlignment="1">
      <alignment vertical="center" wrapText="1"/>
    </xf>
    <xf numFmtId="0" fontId="3" fillId="2" borderId="0" xfId="1" applyFont="1" applyFill="1" applyAlignment="1">
      <alignment horizontal="center" vertical="center" wrapText="1"/>
    </xf>
    <xf numFmtId="165" fontId="4" fillId="2" borderId="0" xfId="2" applyNumberFormat="1" applyFont="1" applyFill="1">
      <alignment vertical="center"/>
    </xf>
    <xf numFmtId="165" fontId="5" fillId="2" borderId="0" xfId="2" applyNumberFormat="1" applyFont="1" applyFill="1">
      <alignment vertical="center"/>
    </xf>
    <xf numFmtId="165" fontId="4" fillId="2" borderId="0" xfId="2" applyNumberFormat="1" applyFont="1" applyFill="1" applyAlignment="1">
      <alignment horizontal="center" vertical="center"/>
    </xf>
    <xf numFmtId="4" fontId="4" fillId="2" borderId="0" xfId="2" applyNumberFormat="1" applyFont="1" applyFill="1">
      <alignment vertical="center"/>
    </xf>
    <xf numFmtId="4" fontId="6" fillId="2" borderId="0" xfId="2" applyNumberFormat="1" applyFont="1" applyFill="1">
      <alignment vertical="center"/>
    </xf>
    <xf numFmtId="0" fontId="11" fillId="0" borderId="0" xfId="1" applyFont="1" applyAlignment="1">
      <alignment vertical="center" wrapText="1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4" fillId="0" borderId="0" xfId="2" applyFont="1" applyAlignment="1">
      <alignment vertical="center" shrinkToFit="1"/>
    </xf>
    <xf numFmtId="166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14" fillId="0" borderId="1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vertical="center"/>
    </xf>
    <xf numFmtId="165" fontId="14" fillId="0" borderId="1" xfId="4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shrinkToFit="1"/>
    </xf>
    <xf numFmtId="166" fontId="9" fillId="0" borderId="2" xfId="2" applyNumberFormat="1" applyFont="1" applyBorder="1" applyAlignment="1">
      <alignment horizontal="center" vertical="center" wrapText="1"/>
    </xf>
    <xf numFmtId="0" fontId="9" fillId="0" borderId="2" xfId="5" applyFont="1" applyBorder="1" applyAlignment="1">
      <alignment horizontal="center" vertical="center" wrapText="1"/>
    </xf>
    <xf numFmtId="165" fontId="9" fillId="0" borderId="2" xfId="5" applyNumberFormat="1" applyFont="1" applyBorder="1" applyAlignment="1">
      <alignment horizontal="center" vertical="center"/>
    </xf>
    <xf numFmtId="4" fontId="9" fillId="0" borderId="2" xfId="5" applyNumberFormat="1" applyFont="1" applyBorder="1" applyAlignment="1">
      <alignment horizontal="center" vertical="center" wrapText="1"/>
    </xf>
    <xf numFmtId="165" fontId="9" fillId="0" borderId="2" xfId="4" applyNumberFormat="1" applyFont="1" applyBorder="1" applyAlignment="1">
      <alignment horizontal="center" vertical="center" wrapText="1"/>
    </xf>
    <xf numFmtId="165" fontId="9" fillId="0" borderId="2" xfId="5" applyNumberFormat="1" applyFont="1" applyBorder="1" applyAlignment="1">
      <alignment horizontal="center" vertical="center"/>
    </xf>
    <xf numFmtId="165" fontId="9" fillId="0" borderId="2" xfId="4" applyNumberFormat="1" applyFont="1" applyBorder="1" applyAlignment="1">
      <alignment horizontal="center" vertical="center" wrapText="1"/>
    </xf>
    <xf numFmtId="165" fontId="9" fillId="0" borderId="3" xfId="4" applyNumberFormat="1" applyFont="1" applyBorder="1" applyAlignment="1">
      <alignment horizontal="center" vertical="center" wrapText="1"/>
    </xf>
    <xf numFmtId="4" fontId="16" fillId="0" borderId="2" xfId="2" applyNumberFormat="1" applyFont="1" applyBorder="1" applyAlignment="1">
      <alignment horizontal="center" vertical="center"/>
    </xf>
    <xf numFmtId="4" fontId="17" fillId="0" borderId="2" xfId="2" applyNumberFormat="1" applyFont="1" applyBorder="1" applyAlignment="1">
      <alignment horizontal="center" vertical="center"/>
    </xf>
    <xf numFmtId="165" fontId="9" fillId="0" borderId="4" xfId="4" applyNumberFormat="1" applyFont="1" applyBorder="1" applyAlignment="1">
      <alignment horizontal="center" vertical="center" wrapText="1"/>
    </xf>
    <xf numFmtId="0" fontId="18" fillId="3" borderId="2" xfId="2" applyFont="1" applyFill="1" applyBorder="1" applyAlignment="1">
      <alignment horizontal="right" vertical="center"/>
    </xf>
    <xf numFmtId="0" fontId="18" fillId="3" borderId="2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8" fillId="3" borderId="2" xfId="2" applyFont="1" applyFill="1" applyBorder="1" applyAlignment="1">
      <alignment vertical="center" wrapText="1" shrinkToFit="1"/>
    </xf>
    <xf numFmtId="0" fontId="18" fillId="3" borderId="2" xfId="2" applyFont="1" applyFill="1" applyBorder="1" applyAlignment="1">
      <alignment vertical="center" shrinkToFit="1"/>
    </xf>
    <xf numFmtId="166" fontId="19" fillId="3" borderId="2" xfId="2" applyNumberFormat="1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center" vertical="center"/>
    </xf>
    <xf numFmtId="0" fontId="19" fillId="3" borderId="2" xfId="1" applyFont="1" applyFill="1" applyBorder="1" applyAlignment="1">
      <alignment horizontal="center" vertical="center"/>
    </xf>
    <xf numFmtId="2" fontId="18" fillId="3" borderId="2" xfId="1" applyNumberFormat="1" applyFont="1" applyFill="1" applyBorder="1" applyAlignment="1">
      <alignment horizontal="center" vertical="center"/>
    </xf>
    <xf numFmtId="167" fontId="18" fillId="3" borderId="2" xfId="1" applyNumberFormat="1" applyFont="1" applyFill="1" applyBorder="1" applyAlignment="1">
      <alignment horizontal="center" vertical="center"/>
    </xf>
    <xf numFmtId="4" fontId="18" fillId="3" borderId="2" xfId="1" applyNumberFormat="1" applyFont="1" applyFill="1" applyBorder="1" applyAlignment="1">
      <alignment horizontal="center" vertical="center"/>
    </xf>
    <xf numFmtId="4" fontId="10" fillId="3" borderId="2" xfId="1" applyNumberFormat="1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2" fontId="3" fillId="2" borderId="2" xfId="1" applyNumberFormat="1" applyFont="1" applyFill="1" applyBorder="1" applyAlignment="1">
      <alignment horizontal="center" vertical="center"/>
    </xf>
    <xf numFmtId="168" fontId="3" fillId="0" borderId="2" xfId="1" applyNumberFormat="1" applyFont="1" applyBorder="1" applyAlignment="1">
      <alignment horizontal="center" vertical="center"/>
    </xf>
    <xf numFmtId="168" fontId="6" fillId="0" borderId="2" xfId="1" applyNumberFormat="1" applyFont="1" applyBorder="1" applyAlignment="1">
      <alignment horizontal="center" vertical="center"/>
    </xf>
    <xf numFmtId="168" fontId="6" fillId="0" borderId="2" xfId="1" applyNumberFormat="1" applyFont="1" applyBorder="1" applyAlignment="1">
      <alignment horizontal="center" vertical="center" wrapText="1"/>
    </xf>
    <xf numFmtId="168" fontId="6" fillId="0" borderId="2" xfId="4" applyNumberFormat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4" fontId="6" fillId="0" borderId="2" xfId="1" applyNumberFormat="1" applyFont="1" applyBorder="1" applyAlignment="1">
      <alignment horizontal="center" vertical="center"/>
    </xf>
    <xf numFmtId="4" fontId="7" fillId="0" borderId="3" xfId="1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68" fontId="4" fillId="0" borderId="2" xfId="1" applyNumberFormat="1" applyFont="1" applyBorder="1" applyAlignment="1">
      <alignment horizontal="center" vertical="center"/>
    </xf>
    <xf numFmtId="4" fontId="7" fillId="0" borderId="5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20" fillId="4" borderId="2" xfId="2" applyFont="1" applyFill="1" applyBorder="1" applyAlignment="1">
      <alignment horizontal="right" vertical="center"/>
    </xf>
    <xf numFmtId="0" fontId="20" fillId="4" borderId="2" xfId="2" applyFont="1" applyFill="1" applyBorder="1" applyAlignment="1">
      <alignment horizontal="center" vertical="center"/>
    </xf>
    <xf numFmtId="0" fontId="20" fillId="4" borderId="2" xfId="2" applyFont="1" applyFill="1" applyBorder="1" applyAlignment="1">
      <alignment horizontal="left" vertical="center"/>
    </xf>
    <xf numFmtId="0" fontId="20" fillId="4" borderId="2" xfId="2" applyFont="1" applyFill="1" applyBorder="1" applyAlignment="1">
      <alignment vertical="center" shrinkToFit="1"/>
    </xf>
    <xf numFmtId="166" fontId="20" fillId="4" borderId="2" xfId="2" applyNumberFormat="1" applyFont="1" applyFill="1" applyBorder="1" applyAlignment="1">
      <alignment horizontal="center" vertical="center"/>
    </xf>
    <xf numFmtId="165" fontId="20" fillId="4" borderId="2" xfId="2" applyNumberFormat="1" applyFont="1" applyFill="1" applyBorder="1" applyAlignment="1">
      <alignment horizontal="center" vertical="center"/>
    </xf>
    <xf numFmtId="4" fontId="20" fillId="4" borderId="2" xfId="2" applyNumberFormat="1" applyFont="1" applyFill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1" fillId="0" borderId="2" xfId="2" applyFont="1" applyBorder="1" applyAlignment="1">
      <alignment horizontal="center" vertical="center" wrapText="1"/>
    </xf>
    <xf numFmtId="0" fontId="21" fillId="2" borderId="2" xfId="2" applyFont="1" applyFill="1" applyBorder="1" applyAlignment="1">
      <alignment horizontal="center" vertical="center"/>
    </xf>
    <xf numFmtId="169" fontId="3" fillId="0" borderId="2" xfId="1" applyNumberFormat="1" applyFont="1" applyBorder="1" applyAlignment="1">
      <alignment horizontal="center" vertical="center"/>
    </xf>
    <xf numFmtId="165" fontId="21" fillId="2" borderId="2" xfId="2" applyNumberFormat="1" applyFont="1" applyFill="1" applyBorder="1" applyAlignment="1">
      <alignment horizontal="center" vertical="center"/>
    </xf>
    <xf numFmtId="166" fontId="21" fillId="2" borderId="2" xfId="2" applyNumberFormat="1" applyFont="1" applyFill="1" applyBorder="1" applyAlignment="1">
      <alignment horizontal="center" vertical="center"/>
    </xf>
    <xf numFmtId="4" fontId="21" fillId="2" borderId="2" xfId="2" applyNumberFormat="1" applyFont="1" applyFill="1" applyBorder="1" applyAlignment="1">
      <alignment horizontal="center" vertical="center"/>
    </xf>
    <xf numFmtId="4" fontId="21" fillId="2" borderId="3" xfId="2" applyNumberFormat="1" applyFont="1" applyFill="1" applyBorder="1" applyAlignment="1">
      <alignment horizontal="center" vertical="center"/>
    </xf>
    <xf numFmtId="0" fontId="21" fillId="2" borderId="0" xfId="2" applyFont="1" applyFill="1" applyAlignment="1">
      <alignment horizontal="center" vertical="center"/>
    </xf>
    <xf numFmtId="4" fontId="21" fillId="2" borderId="5" xfId="2" applyNumberFormat="1" applyFont="1" applyFill="1" applyBorder="1" applyAlignment="1">
      <alignment horizontal="center" vertical="center"/>
    </xf>
    <xf numFmtId="4" fontId="21" fillId="2" borderId="4" xfId="2" applyNumberFormat="1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3" fillId="0" borderId="2" xfId="6" applyFont="1" applyBorder="1" applyAlignment="1">
      <alignment horizontal="center" vertical="center" wrapText="1"/>
    </xf>
    <xf numFmtId="0" fontId="3" fillId="0" borderId="2" xfId="6" applyFont="1" applyBorder="1" applyAlignment="1">
      <alignment horizontal="center" vertical="center"/>
    </xf>
    <xf numFmtId="2" fontId="3" fillId="0" borderId="2" xfId="6" applyNumberFormat="1" applyFont="1" applyBorder="1" applyAlignment="1">
      <alignment horizontal="center" vertical="center"/>
    </xf>
    <xf numFmtId="168" fontId="21" fillId="0" borderId="2" xfId="1" applyNumberFormat="1" applyFont="1" applyBorder="1" applyAlignment="1">
      <alignment horizontal="center" vertical="center"/>
    </xf>
    <xf numFmtId="3" fontId="20" fillId="4" borderId="2" xfId="2" applyNumberFormat="1" applyFont="1" applyFill="1" applyBorder="1" applyAlignment="1">
      <alignment horizontal="center" vertical="center"/>
    </xf>
    <xf numFmtId="0" fontId="10" fillId="0" borderId="2" xfId="7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10" fillId="0" borderId="2" xfId="4" applyFont="1" applyBorder="1" applyAlignment="1">
      <alignment horizontal="center" vertical="center" shrinkToFit="1"/>
    </xf>
    <xf numFmtId="0" fontId="10" fillId="0" borderId="3" xfId="7" applyFont="1" applyBorder="1" applyAlignment="1">
      <alignment horizontal="center" vertical="center"/>
    </xf>
    <xf numFmtId="166" fontId="10" fillId="0" borderId="3" xfId="7" applyNumberFormat="1" applyFont="1" applyBorder="1" applyAlignment="1">
      <alignment horizontal="center" vertical="center"/>
    </xf>
    <xf numFmtId="165" fontId="10" fillId="0" borderId="3" xfId="7" applyNumberFormat="1" applyFont="1" applyBorder="1" applyAlignment="1">
      <alignment horizontal="center" vertical="center"/>
    </xf>
    <xf numFmtId="165" fontId="10" fillId="0" borderId="3" xfId="4" applyNumberFormat="1" applyFont="1" applyBorder="1" applyAlignment="1">
      <alignment horizontal="center" vertical="center"/>
    </xf>
    <xf numFmtId="170" fontId="10" fillId="0" borderId="3" xfId="4" applyNumberFormat="1" applyFont="1" applyBorder="1" applyAlignment="1">
      <alignment horizontal="center" vertical="center"/>
    </xf>
    <xf numFmtId="168" fontId="6" fillId="0" borderId="3" xfId="1" applyNumberFormat="1" applyFont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 wrapText="1"/>
    </xf>
    <xf numFmtId="165" fontId="6" fillId="0" borderId="3" xfId="1" applyNumberFormat="1" applyFont="1" applyBorder="1" applyAlignment="1">
      <alignment horizontal="center" vertical="center"/>
    </xf>
    <xf numFmtId="168" fontId="6" fillId="0" borderId="3" xfId="4" applyNumberFormat="1" applyFont="1" applyBorder="1" applyAlignment="1">
      <alignment horizontal="center" vertical="center"/>
    </xf>
    <xf numFmtId="4" fontId="6" fillId="2" borderId="2" xfId="1" applyNumberFormat="1" applyFont="1" applyFill="1" applyBorder="1" applyAlignment="1">
      <alignment horizontal="center" vertical="center"/>
    </xf>
    <xf numFmtId="0" fontId="10" fillId="0" borderId="4" xfId="7" applyFont="1" applyBorder="1" applyAlignment="1">
      <alignment horizontal="center" vertical="center"/>
    </xf>
    <xf numFmtId="166" fontId="10" fillId="0" borderId="4" xfId="7" applyNumberFormat="1" applyFont="1" applyBorder="1" applyAlignment="1">
      <alignment horizontal="center" vertical="center"/>
    </xf>
    <xf numFmtId="165" fontId="10" fillId="0" borderId="4" xfId="7" applyNumberFormat="1" applyFont="1" applyBorder="1" applyAlignment="1">
      <alignment horizontal="center" vertical="center"/>
    </xf>
    <xf numFmtId="165" fontId="10" fillId="0" borderId="4" xfId="4" applyNumberFormat="1" applyFont="1" applyBorder="1" applyAlignment="1">
      <alignment horizontal="center" vertical="center"/>
    </xf>
    <xf numFmtId="170" fontId="10" fillId="0" borderId="4" xfId="4" applyNumberFormat="1" applyFont="1" applyBorder="1" applyAlignment="1">
      <alignment horizontal="center" vertical="center"/>
    </xf>
    <xf numFmtId="168" fontId="6" fillId="0" borderId="4" xfId="1" applyNumberFormat="1" applyFont="1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 wrapText="1"/>
    </xf>
    <xf numFmtId="165" fontId="6" fillId="0" borderId="4" xfId="1" applyNumberFormat="1" applyFont="1" applyBorder="1" applyAlignment="1">
      <alignment horizontal="center" vertical="center"/>
    </xf>
    <xf numFmtId="168" fontId="6" fillId="0" borderId="4" xfId="4" applyNumberFormat="1" applyFont="1" applyBorder="1" applyAlignment="1">
      <alignment horizontal="center" vertical="center"/>
    </xf>
    <xf numFmtId="0" fontId="10" fillId="0" borderId="2" xfId="8" applyFont="1" applyBorder="1" applyAlignment="1">
      <alignment horizontal="center" vertical="center" wrapText="1"/>
    </xf>
    <xf numFmtId="0" fontId="10" fillId="0" borderId="2" xfId="8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2" xfId="7" applyFont="1" applyBorder="1" applyAlignment="1">
      <alignment horizontal="center" vertical="center"/>
    </xf>
    <xf numFmtId="166" fontId="10" fillId="0" borderId="2" xfId="7" applyNumberFormat="1" applyFont="1" applyBorder="1" applyAlignment="1">
      <alignment horizontal="center" vertical="center"/>
    </xf>
    <xf numFmtId="165" fontId="10" fillId="0" borderId="2" xfId="7" applyNumberFormat="1" applyFont="1" applyBorder="1" applyAlignment="1">
      <alignment horizontal="center" vertical="center"/>
    </xf>
    <xf numFmtId="165" fontId="10" fillId="0" borderId="2" xfId="4" applyNumberFormat="1" applyFont="1" applyBorder="1" applyAlignment="1">
      <alignment horizontal="center" vertical="center"/>
    </xf>
    <xf numFmtId="170" fontId="10" fillId="0" borderId="2" xfId="4" applyNumberFormat="1" applyFont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 wrapText="1"/>
    </xf>
    <xf numFmtId="165" fontId="6" fillId="0" borderId="2" xfId="1" applyNumberFormat="1" applyFont="1" applyBorder="1" applyAlignment="1">
      <alignment horizontal="center" vertical="center"/>
    </xf>
    <xf numFmtId="0" fontId="20" fillId="5" borderId="2" xfId="2" applyFont="1" applyFill="1" applyBorder="1" applyAlignment="1">
      <alignment horizontal="center" vertical="center"/>
    </xf>
    <xf numFmtId="0" fontId="16" fillId="5" borderId="2" xfId="7" applyFont="1" applyFill="1" applyBorder="1" applyAlignment="1">
      <alignment horizontal="center" vertical="center" wrapText="1"/>
    </xf>
    <xf numFmtId="0" fontId="16" fillId="5" borderId="2" xfId="1" applyFont="1" applyFill="1" applyBorder="1" applyAlignment="1">
      <alignment horizontal="center" vertical="center"/>
    </xf>
    <xf numFmtId="0" fontId="16" fillId="5" borderId="2" xfId="4" applyFont="1" applyFill="1" applyBorder="1" applyAlignment="1">
      <alignment horizontal="center" vertical="center" shrinkToFit="1"/>
    </xf>
    <xf numFmtId="0" fontId="16" fillId="5" borderId="2" xfId="7" applyFont="1" applyFill="1" applyBorder="1" applyAlignment="1">
      <alignment horizontal="center" vertical="center"/>
    </xf>
    <xf numFmtId="166" fontId="16" fillId="5" borderId="2" xfId="7" applyNumberFormat="1" applyFont="1" applyFill="1" applyBorder="1" applyAlignment="1">
      <alignment horizontal="center" vertical="center"/>
    </xf>
    <xf numFmtId="165" fontId="16" fillId="5" borderId="2" xfId="7" applyNumberFormat="1" applyFont="1" applyFill="1" applyBorder="1" applyAlignment="1">
      <alignment horizontal="center" vertical="center"/>
    </xf>
    <xf numFmtId="165" fontId="16" fillId="5" borderId="2" xfId="4" applyNumberFormat="1" applyFont="1" applyFill="1" applyBorder="1" applyAlignment="1">
      <alignment horizontal="center" vertical="center"/>
    </xf>
    <xf numFmtId="170" fontId="16" fillId="5" borderId="2" xfId="4" applyNumberFormat="1" applyFont="1" applyFill="1" applyBorder="1" applyAlignment="1">
      <alignment horizontal="center" vertical="center"/>
    </xf>
    <xf numFmtId="168" fontId="20" fillId="5" borderId="2" xfId="1" applyNumberFormat="1" applyFont="1" applyFill="1" applyBorder="1" applyAlignment="1">
      <alignment horizontal="center" vertical="center"/>
    </xf>
    <xf numFmtId="165" fontId="20" fillId="5" borderId="2" xfId="1" applyNumberFormat="1" applyFont="1" applyFill="1" applyBorder="1" applyAlignment="1">
      <alignment horizontal="center" vertical="center" wrapText="1"/>
    </xf>
    <xf numFmtId="165" fontId="20" fillId="5" borderId="2" xfId="1" applyNumberFormat="1" applyFont="1" applyFill="1" applyBorder="1" applyAlignment="1">
      <alignment horizontal="center" vertical="center"/>
    </xf>
    <xf numFmtId="168" fontId="20" fillId="5" borderId="2" xfId="4" applyNumberFormat="1" applyFont="1" applyFill="1" applyBorder="1" applyAlignment="1">
      <alignment horizontal="center" vertical="center"/>
    </xf>
    <xf numFmtId="4" fontId="20" fillId="5" borderId="2" xfId="1" applyNumberFormat="1" applyFont="1" applyFill="1" applyBorder="1" applyAlignment="1">
      <alignment horizontal="center" vertical="center"/>
    </xf>
    <xf numFmtId="0" fontId="20" fillId="5" borderId="0" xfId="2" applyFont="1" applyFill="1" applyAlignment="1">
      <alignment horizontal="center" vertical="center"/>
    </xf>
    <xf numFmtId="0" fontId="10" fillId="0" borderId="2" xfId="4" applyFont="1" applyBorder="1" applyAlignment="1">
      <alignment horizontal="center" vertical="center" wrapText="1" shrinkToFit="1"/>
    </xf>
    <xf numFmtId="166" fontId="10" fillId="0" borderId="2" xfId="7" applyNumberFormat="1" applyFont="1" applyBorder="1" applyAlignment="1">
      <alignment horizontal="center" vertical="center" wrapText="1"/>
    </xf>
    <xf numFmtId="0" fontId="20" fillId="6" borderId="2" xfId="2" applyFont="1" applyFill="1" applyBorder="1" applyAlignment="1">
      <alignment horizontal="center" vertical="center"/>
    </xf>
    <xf numFmtId="0" fontId="16" fillId="6" borderId="2" xfId="8" applyFont="1" applyFill="1" applyBorder="1" applyAlignment="1">
      <alignment horizontal="center" vertical="center" wrapText="1"/>
    </xf>
    <xf numFmtId="0" fontId="16" fillId="6" borderId="2" xfId="1" applyFont="1" applyFill="1" applyBorder="1" applyAlignment="1">
      <alignment horizontal="center" vertical="center" wrapText="1"/>
    </xf>
    <xf numFmtId="0" fontId="16" fillId="6" borderId="2" xfId="4" applyFont="1" applyFill="1" applyBorder="1" applyAlignment="1">
      <alignment horizontal="center" vertical="center" shrinkToFit="1"/>
    </xf>
    <xf numFmtId="166" fontId="16" fillId="6" borderId="2" xfId="4" applyNumberFormat="1" applyFont="1" applyFill="1" applyBorder="1" applyAlignment="1">
      <alignment horizontal="center" vertical="center" shrinkToFit="1"/>
    </xf>
    <xf numFmtId="168" fontId="16" fillId="6" borderId="2" xfId="4" applyNumberFormat="1" applyFont="1" applyFill="1" applyBorder="1" applyAlignment="1">
      <alignment horizontal="center" vertical="center" shrinkToFit="1"/>
    </xf>
    <xf numFmtId="4" fontId="7" fillId="0" borderId="4" xfId="1" applyNumberFormat="1" applyFont="1" applyBorder="1" applyAlignment="1">
      <alignment horizontal="center" vertical="center"/>
    </xf>
    <xf numFmtId="0" fontId="20" fillId="6" borderId="2" xfId="1" applyFont="1" applyFill="1" applyBorder="1" applyAlignment="1">
      <alignment horizontal="center" vertical="center"/>
    </xf>
    <xf numFmtId="2" fontId="20" fillId="6" borderId="2" xfId="1" applyNumberFormat="1" applyFont="1" applyFill="1" applyBorder="1" applyAlignment="1">
      <alignment horizontal="center" vertical="center"/>
    </xf>
    <xf numFmtId="4" fontId="22" fillId="6" borderId="2" xfId="1" applyNumberFormat="1" applyFont="1" applyFill="1" applyBorder="1" applyAlignment="1">
      <alignment horizontal="center" vertical="center"/>
    </xf>
    <xf numFmtId="4" fontId="20" fillId="6" borderId="2" xfId="1" applyNumberFormat="1" applyFont="1" applyFill="1" applyBorder="1" applyAlignment="1">
      <alignment horizontal="center" vertical="center"/>
    </xf>
    <xf numFmtId="0" fontId="18" fillId="0" borderId="6" xfId="1" applyFont="1" applyBorder="1" applyAlignment="1">
      <alignment horizontal="center" vertical="center" wrapText="1"/>
    </xf>
    <xf numFmtId="166" fontId="10" fillId="0" borderId="2" xfId="1" applyNumberFormat="1" applyFont="1" applyBorder="1" applyAlignment="1">
      <alignment horizontal="center" vertical="center" wrapText="1"/>
    </xf>
    <xf numFmtId="166" fontId="11" fillId="0" borderId="2" xfId="1" applyNumberFormat="1" applyFont="1" applyBorder="1" applyAlignment="1">
      <alignment horizontal="center" vertical="center" wrapText="1"/>
    </xf>
    <xf numFmtId="165" fontId="10" fillId="0" borderId="2" xfId="1" applyNumberFormat="1" applyFont="1" applyBorder="1" applyAlignment="1">
      <alignment horizontal="center" vertical="center" wrapText="1"/>
    </xf>
    <xf numFmtId="168" fontId="6" fillId="0" borderId="4" xfId="1" applyNumberFormat="1" applyFont="1" applyBorder="1" applyAlignment="1">
      <alignment horizontal="center" vertical="center"/>
    </xf>
    <xf numFmtId="168" fontId="6" fillId="0" borderId="4" xfId="4" applyNumberFormat="1" applyFont="1" applyBorder="1" applyAlignment="1">
      <alignment horizontal="center" vertical="center"/>
    </xf>
    <xf numFmtId="4" fontId="7" fillId="0" borderId="3" xfId="1" applyNumberFormat="1" applyFont="1" applyBorder="1" applyAlignment="1">
      <alignment horizontal="center" vertical="center"/>
    </xf>
    <xf numFmtId="0" fontId="20" fillId="6" borderId="2" xfId="2" applyFont="1" applyFill="1" applyBorder="1" applyAlignment="1">
      <alignment horizontal="center" vertical="center" wrapText="1"/>
    </xf>
    <xf numFmtId="166" fontId="16" fillId="6" borderId="2" xfId="1" applyNumberFormat="1" applyFont="1" applyFill="1" applyBorder="1" applyAlignment="1">
      <alignment horizontal="center" vertical="center" wrapText="1"/>
    </xf>
    <xf numFmtId="165" fontId="16" fillId="6" borderId="2" xfId="1" applyNumberFormat="1" applyFont="1" applyFill="1" applyBorder="1" applyAlignment="1">
      <alignment horizontal="center" vertical="center" wrapText="1"/>
    </xf>
    <xf numFmtId="168" fontId="21" fillId="0" borderId="4" xfId="1" applyNumberFormat="1" applyFont="1" applyBorder="1" applyAlignment="1">
      <alignment horizontal="center" vertical="center"/>
    </xf>
    <xf numFmtId="0" fontId="20" fillId="4" borderId="2" xfId="2" applyFont="1" applyFill="1" applyBorder="1" applyAlignment="1">
      <alignment horizontal="center" vertical="center" shrinkToFit="1"/>
    </xf>
    <xf numFmtId="168" fontId="21" fillId="7" borderId="4" xfId="1" applyNumberFormat="1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171" fontId="10" fillId="0" borderId="2" xfId="7" applyNumberFormat="1" applyFont="1" applyBorder="1" applyAlignment="1">
      <alignment horizontal="center" vertical="center"/>
    </xf>
    <xf numFmtId="171" fontId="10" fillId="0" borderId="2" xfId="4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168" fontId="7" fillId="5" borderId="2" xfId="1" applyNumberFormat="1" applyFont="1" applyFill="1" applyBorder="1" applyAlignment="1">
      <alignment horizontal="center" vertical="center"/>
    </xf>
    <xf numFmtId="4" fontId="6" fillId="5" borderId="2" xfId="1" applyNumberFormat="1" applyFont="1" applyFill="1" applyBorder="1" applyAlignment="1">
      <alignment horizontal="center" vertical="center"/>
    </xf>
    <xf numFmtId="171" fontId="10" fillId="0" borderId="2" xfId="2" applyNumberFormat="1" applyFont="1" applyBorder="1" applyAlignment="1">
      <alignment horizontal="center" vertical="center"/>
    </xf>
    <xf numFmtId="168" fontId="23" fillId="5" borderId="2" xfId="1" applyNumberFormat="1" applyFont="1" applyFill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shrinkToFit="1"/>
    </xf>
    <xf numFmtId="171" fontId="10" fillId="0" borderId="3" xfId="2" applyNumberFormat="1" applyFont="1" applyBorder="1" applyAlignment="1">
      <alignment horizontal="center" vertical="center"/>
    </xf>
    <xf numFmtId="168" fontId="21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" vertical="center" wrapText="1"/>
    </xf>
    <xf numFmtId="0" fontId="10" fillId="0" borderId="5" xfId="4" applyFont="1" applyBorder="1" applyAlignment="1">
      <alignment horizontal="center" vertical="center" shrinkToFit="1"/>
    </xf>
    <xf numFmtId="171" fontId="10" fillId="0" borderId="5" xfId="2" applyNumberFormat="1" applyFont="1" applyBorder="1" applyAlignment="1">
      <alignment horizontal="center" vertical="center"/>
    </xf>
    <xf numFmtId="168" fontId="21" fillId="0" borderId="5" xfId="1" applyNumberFormat="1" applyFont="1" applyBorder="1" applyAlignment="1">
      <alignment horizontal="center" vertical="center"/>
    </xf>
    <xf numFmtId="168" fontId="6" fillId="0" borderId="5" xfId="1" applyNumberFormat="1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 wrapText="1"/>
    </xf>
    <xf numFmtId="168" fontId="6" fillId="0" borderId="5" xfId="4" applyNumberFormat="1" applyFont="1" applyBorder="1" applyAlignment="1">
      <alignment horizontal="center" vertical="center"/>
    </xf>
    <xf numFmtId="0" fontId="10" fillId="0" borderId="4" xfId="4" applyFont="1" applyBorder="1" applyAlignment="1">
      <alignment horizontal="center" vertical="center" shrinkToFit="1"/>
    </xf>
    <xf numFmtId="171" fontId="10" fillId="0" borderId="4" xfId="2" applyNumberFormat="1" applyFont="1" applyBorder="1" applyAlignment="1">
      <alignment horizontal="center" vertical="center"/>
    </xf>
    <xf numFmtId="168" fontId="21" fillId="0" borderId="4" xfId="1" applyNumberFormat="1" applyFont="1" applyBorder="1" applyAlignment="1">
      <alignment horizontal="center" vertical="center"/>
    </xf>
    <xf numFmtId="2" fontId="10" fillId="0" borderId="4" xfId="1" applyNumberFormat="1" applyFont="1" applyBorder="1" applyAlignment="1">
      <alignment horizontal="center" vertical="center" wrapText="1"/>
    </xf>
    <xf numFmtId="173" fontId="16" fillId="6" borderId="2" xfId="9" applyNumberFormat="1" applyFont="1" applyFill="1" applyBorder="1" applyAlignment="1">
      <alignment horizontal="center" vertical="center" wrapText="1"/>
    </xf>
    <xf numFmtId="0" fontId="16" fillId="6" borderId="2" xfId="1" applyFont="1" applyFill="1" applyBorder="1" applyAlignment="1">
      <alignment horizontal="center" vertical="center"/>
    </xf>
    <xf numFmtId="168" fontId="21" fillId="6" borderId="4" xfId="1" applyNumberFormat="1" applyFont="1" applyFill="1" applyBorder="1" applyAlignment="1">
      <alignment horizontal="center" vertical="center"/>
    </xf>
    <xf numFmtId="2" fontId="16" fillId="6" borderId="2" xfId="1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left" vertical="center"/>
    </xf>
    <xf numFmtId="168" fontId="4" fillId="4" borderId="2" xfId="2" applyNumberFormat="1" applyFont="1" applyFill="1" applyBorder="1" applyAlignment="1">
      <alignment horizontal="center" vertical="center"/>
    </xf>
    <xf numFmtId="4" fontId="4" fillId="4" borderId="2" xfId="2" applyNumberFormat="1" applyFont="1" applyFill="1" applyBorder="1" applyAlignment="1">
      <alignment horizontal="center" vertical="center"/>
    </xf>
    <xf numFmtId="4" fontId="7" fillId="4" borderId="2" xfId="2" applyNumberFormat="1" applyFont="1" applyFill="1" applyBorder="1" applyAlignment="1">
      <alignment horizontal="center" vertical="center"/>
    </xf>
    <xf numFmtId="0" fontId="4" fillId="0" borderId="2" xfId="2" applyFont="1" applyBorder="1" applyAlignment="1">
      <alignment horizontal="right" vertical="center"/>
    </xf>
    <xf numFmtId="0" fontId="6" fillId="0" borderId="2" xfId="2" applyFont="1" applyBorder="1" applyAlignment="1">
      <alignment horizontal="left" vertical="center"/>
    </xf>
    <xf numFmtId="0" fontId="4" fillId="0" borderId="2" xfId="2" applyFont="1" applyBorder="1" applyAlignment="1">
      <alignment vertical="center" shrinkToFit="1"/>
    </xf>
    <xf numFmtId="166" fontId="5" fillId="0" borderId="2" xfId="2" applyNumberFormat="1" applyFont="1" applyBorder="1" applyAlignment="1">
      <alignment horizontal="center" vertical="center"/>
    </xf>
    <xf numFmtId="165" fontId="5" fillId="0" borderId="2" xfId="2" applyNumberFormat="1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166" fontId="20" fillId="0" borderId="0" xfId="2" applyNumberFormat="1" applyFont="1" applyAlignment="1">
      <alignment horizontal="center" vertical="center"/>
    </xf>
    <xf numFmtId="165" fontId="20" fillId="0" borderId="0" xfId="2" applyNumberFormat="1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4" fontId="5" fillId="0" borderId="0" xfId="2" applyNumberFormat="1" applyFont="1" applyAlignment="1">
      <alignment horizontal="center" vertical="center"/>
    </xf>
    <xf numFmtId="168" fontId="4" fillId="0" borderId="0" xfId="2" applyNumberFormat="1" applyFont="1" applyAlignment="1">
      <alignment horizontal="center" vertical="center"/>
    </xf>
    <xf numFmtId="168" fontId="24" fillId="0" borderId="0" xfId="2" applyNumberFormat="1" applyFont="1" applyAlignment="1">
      <alignment horizontal="left" vertical="center"/>
    </xf>
    <xf numFmtId="168" fontId="4" fillId="0" borderId="0" xfId="2" applyNumberFormat="1" applyFont="1" applyAlignment="1">
      <alignment horizontal="center" vertical="center" shrinkToFit="1"/>
    </xf>
    <xf numFmtId="174" fontId="5" fillId="0" borderId="0" xfId="2" applyNumberFormat="1" applyFont="1" applyAlignment="1">
      <alignment horizontal="center" vertical="center"/>
    </xf>
    <xf numFmtId="168" fontId="25" fillId="0" borderId="0" xfId="2" applyNumberFormat="1" applyFont="1" applyAlignment="1">
      <alignment horizontal="left" vertical="center"/>
    </xf>
    <xf numFmtId="174" fontId="5" fillId="0" borderId="7" xfId="2" applyNumberFormat="1" applyFont="1" applyBorder="1" applyAlignment="1">
      <alignment horizontal="center" vertical="center"/>
    </xf>
    <xf numFmtId="168" fontId="5" fillId="0" borderId="0" xfId="2" applyNumberFormat="1" applyFont="1" applyAlignment="1">
      <alignment horizontal="center" vertical="center"/>
    </xf>
    <xf numFmtId="4" fontId="5" fillId="0" borderId="7" xfId="2" applyNumberFormat="1" applyFont="1" applyBorder="1" applyAlignment="1">
      <alignment horizontal="center" vertical="center"/>
    </xf>
    <xf numFmtId="168" fontId="4" fillId="0" borderId="0" xfId="2" applyNumberFormat="1" applyFont="1" applyAlignment="1">
      <alignment horizontal="center" vertical="center" wrapText="1"/>
    </xf>
    <xf numFmtId="0" fontId="25" fillId="0" borderId="0" xfId="2" applyFont="1" applyAlignment="1">
      <alignment horizontal="left" vertical="center" wrapText="1"/>
    </xf>
    <xf numFmtId="168" fontId="4" fillId="0" borderId="0" xfId="2" applyNumberFormat="1" applyFont="1" applyAlignment="1">
      <alignment horizontal="center" vertical="center" wrapText="1" shrinkToFit="1"/>
    </xf>
    <xf numFmtId="168" fontId="26" fillId="0" borderId="0" xfId="2" applyNumberFormat="1" applyFont="1" applyAlignment="1">
      <alignment horizontal="center" vertical="center" wrapText="1"/>
    </xf>
    <xf numFmtId="4" fontId="4" fillId="0" borderId="0" xfId="2" applyNumberFormat="1" applyFont="1" applyAlignment="1">
      <alignment horizontal="center" vertical="center" wrapText="1"/>
    </xf>
    <xf numFmtId="4" fontId="26" fillId="0" borderId="0" xfId="2" applyNumberFormat="1" applyFont="1" applyAlignment="1">
      <alignment horizontal="center" vertical="center" wrapText="1"/>
    </xf>
    <xf numFmtId="4" fontId="7" fillId="0" borderId="0" xfId="2" applyNumberFormat="1" applyFont="1" applyAlignment="1">
      <alignment horizontal="center" vertical="center" wrapText="1"/>
    </xf>
    <xf numFmtId="168" fontId="27" fillId="5" borderId="0" xfId="2" applyNumberFormat="1" applyFont="1" applyFill="1" applyAlignment="1">
      <alignment horizontal="left" vertical="center"/>
    </xf>
    <xf numFmtId="4" fontId="4" fillId="0" borderId="0" xfId="2" applyNumberFormat="1" applyFont="1" applyAlignment="1">
      <alignment horizontal="center" vertical="center"/>
    </xf>
    <xf numFmtId="0" fontId="24" fillId="0" borderId="0" xfId="2" applyFont="1" applyAlignment="1">
      <alignment horizontal="left" vertical="center"/>
    </xf>
    <xf numFmtId="168" fontId="4" fillId="0" borderId="0" xfId="2" applyNumberFormat="1" applyFont="1">
      <alignment vertical="center"/>
    </xf>
    <xf numFmtId="168" fontId="5" fillId="0" borderId="0" xfId="2" applyNumberFormat="1" applyFont="1">
      <alignment vertical="center"/>
    </xf>
    <xf numFmtId="0" fontId="6" fillId="0" borderId="0" xfId="2" applyFont="1" applyAlignment="1">
      <alignment horizontal="left" vertical="center"/>
    </xf>
  </cellXfs>
  <cellStyles count="10">
    <cellStyle name="Comma 2" xfId="9" xr:uid="{2E04EB28-906B-4BAA-8620-23B9601A0489}"/>
    <cellStyle name="Normal" xfId="0" builtinId="0"/>
    <cellStyle name="Normal 4" xfId="1" xr:uid="{6DC4233E-95E6-4B50-89CE-11A9920E7A6E}"/>
    <cellStyle name="Normal 5 3" xfId="3" xr:uid="{9AFD3006-A461-49D1-ABDA-1535E8729816}"/>
    <cellStyle name="Normal 9" xfId="6" xr:uid="{A971051B-8E68-46C4-A432-04D8551F7E87}"/>
    <cellStyle name="Normal_Sheet1 2" xfId="7" xr:uid="{89AA16B6-466C-401F-B7A4-1FACD2F051C7}"/>
    <cellStyle name="Normal_Sheet1 3" xfId="8" xr:uid="{A8633034-C33A-4304-B617-A2078DBB899C}"/>
    <cellStyle name="常规_PK-1104" xfId="2" xr:uid="{5443CCA2-7BA7-4EE0-8303-E85E9D2DB1C2}"/>
    <cellStyle name="常规_PL-PK-1105" xfId="5" xr:uid="{CD5A7198-7AF8-4EDF-8E13-A6C02E3D44BF}"/>
    <cellStyle name="常规_Sheet1" xfId="4" xr:uid="{394D2F86-E598-45F1-9E54-B8C5CE1025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F993-2A8B-4C33-B9F5-3E97C6EA16AD}">
  <sheetPr>
    <pageSetUpPr fitToPage="1"/>
  </sheetPr>
  <dimension ref="A1:V90"/>
  <sheetViews>
    <sheetView tabSelected="1" zoomScaleNormal="100" zoomScaleSheetLayoutView="90" workbookViewId="0"/>
  </sheetViews>
  <sheetFormatPr defaultRowHeight="15.75"/>
  <cols>
    <col min="1" max="1" width="18.85546875" style="32" customWidth="1"/>
    <col min="2" max="2" width="7.28515625" style="211" customWidth="1"/>
    <col min="3" max="3" width="27.85546875" style="237" customWidth="1"/>
    <col min="4" max="4" width="45.85546875" style="30" customWidth="1"/>
    <col min="5" max="5" width="10.7109375" style="30" customWidth="1"/>
    <col min="6" max="6" width="9" style="31" bestFit="1" customWidth="1"/>
    <col min="7" max="7" width="8" style="5" customWidth="1"/>
    <col min="8" max="8" width="7.7109375" style="5" customWidth="1"/>
    <col min="9" max="9" width="8.5703125" style="217" customWidth="1"/>
    <col min="10" max="11" width="7.7109375" style="217" customWidth="1"/>
    <col min="12" max="12" width="9.5703125" style="217" customWidth="1"/>
    <col min="13" max="13" width="10.140625" style="223" customWidth="1"/>
    <col min="14" max="14" width="9.140625" style="223" customWidth="1"/>
    <col min="15" max="15" width="8.28515625" style="223" customWidth="1"/>
    <col min="16" max="16" width="11.5703125" style="235" customWidth="1"/>
    <col min="17" max="17" width="11.42578125" style="236" customWidth="1"/>
    <col min="18" max="18" width="15.140625" style="217" customWidth="1"/>
    <col min="19" max="19" width="29.28515625" style="217" customWidth="1"/>
    <col min="20" max="21" width="15.5703125" style="233" customWidth="1"/>
    <col min="22" max="22" width="15.5703125" style="11" customWidth="1"/>
    <col min="23" max="256" width="9.140625" style="5"/>
    <col min="257" max="257" width="18.85546875" style="5" customWidth="1"/>
    <col min="258" max="258" width="7.28515625" style="5" customWidth="1"/>
    <col min="259" max="259" width="27.85546875" style="5" customWidth="1"/>
    <col min="260" max="260" width="45.85546875" style="5" customWidth="1"/>
    <col min="261" max="261" width="10.7109375" style="5" customWidth="1"/>
    <col min="262" max="262" width="9" style="5" bestFit="1" customWidth="1"/>
    <col min="263" max="263" width="8" style="5" customWidth="1"/>
    <col min="264" max="264" width="7.7109375" style="5" customWidth="1"/>
    <col min="265" max="265" width="8.5703125" style="5" customWidth="1"/>
    <col min="266" max="267" width="7.7109375" style="5" customWidth="1"/>
    <col min="268" max="268" width="9.5703125" style="5" customWidth="1"/>
    <col min="269" max="269" width="10.140625" style="5" customWidth="1"/>
    <col min="270" max="270" width="9.140625" style="5"/>
    <col min="271" max="271" width="8.28515625" style="5" customWidth="1"/>
    <col min="272" max="272" width="11.5703125" style="5" customWidth="1"/>
    <col min="273" max="273" width="11.42578125" style="5" customWidth="1"/>
    <col min="274" max="274" width="15.140625" style="5" customWidth="1"/>
    <col min="275" max="275" width="29.28515625" style="5" customWidth="1"/>
    <col min="276" max="278" width="15.5703125" style="5" customWidth="1"/>
    <col min="279" max="512" width="9.140625" style="5"/>
    <col min="513" max="513" width="18.85546875" style="5" customWidth="1"/>
    <col min="514" max="514" width="7.28515625" style="5" customWidth="1"/>
    <col min="515" max="515" width="27.85546875" style="5" customWidth="1"/>
    <col min="516" max="516" width="45.85546875" style="5" customWidth="1"/>
    <col min="517" max="517" width="10.7109375" style="5" customWidth="1"/>
    <col min="518" max="518" width="9" style="5" bestFit="1" customWidth="1"/>
    <col min="519" max="519" width="8" style="5" customWidth="1"/>
    <col min="520" max="520" width="7.7109375" style="5" customWidth="1"/>
    <col min="521" max="521" width="8.5703125" style="5" customWidth="1"/>
    <col min="522" max="523" width="7.7109375" style="5" customWidth="1"/>
    <col min="524" max="524" width="9.5703125" style="5" customWidth="1"/>
    <col min="525" max="525" width="10.140625" style="5" customWidth="1"/>
    <col min="526" max="526" width="9.140625" style="5"/>
    <col min="527" max="527" width="8.28515625" style="5" customWidth="1"/>
    <col min="528" max="528" width="11.5703125" style="5" customWidth="1"/>
    <col min="529" max="529" width="11.42578125" style="5" customWidth="1"/>
    <col min="530" max="530" width="15.140625" style="5" customWidth="1"/>
    <col min="531" max="531" width="29.28515625" style="5" customWidth="1"/>
    <col min="532" max="534" width="15.5703125" style="5" customWidth="1"/>
    <col min="535" max="768" width="9.140625" style="5"/>
    <col min="769" max="769" width="18.85546875" style="5" customWidth="1"/>
    <col min="770" max="770" width="7.28515625" style="5" customWidth="1"/>
    <col min="771" max="771" width="27.85546875" style="5" customWidth="1"/>
    <col min="772" max="772" width="45.85546875" style="5" customWidth="1"/>
    <col min="773" max="773" width="10.7109375" style="5" customWidth="1"/>
    <col min="774" max="774" width="9" style="5" bestFit="1" customWidth="1"/>
    <col min="775" max="775" width="8" style="5" customWidth="1"/>
    <col min="776" max="776" width="7.7109375" style="5" customWidth="1"/>
    <col min="777" max="777" width="8.5703125" style="5" customWidth="1"/>
    <col min="778" max="779" width="7.7109375" style="5" customWidth="1"/>
    <col min="780" max="780" width="9.5703125" style="5" customWidth="1"/>
    <col min="781" max="781" width="10.140625" style="5" customWidth="1"/>
    <col min="782" max="782" width="9.140625" style="5"/>
    <col min="783" max="783" width="8.28515625" style="5" customWidth="1"/>
    <col min="784" max="784" width="11.5703125" style="5" customWidth="1"/>
    <col min="785" max="785" width="11.42578125" style="5" customWidth="1"/>
    <col min="786" max="786" width="15.140625" style="5" customWidth="1"/>
    <col min="787" max="787" width="29.28515625" style="5" customWidth="1"/>
    <col min="788" max="790" width="15.5703125" style="5" customWidth="1"/>
    <col min="791" max="1024" width="9.140625" style="5"/>
    <col min="1025" max="1025" width="18.85546875" style="5" customWidth="1"/>
    <col min="1026" max="1026" width="7.28515625" style="5" customWidth="1"/>
    <col min="1027" max="1027" width="27.85546875" style="5" customWidth="1"/>
    <col min="1028" max="1028" width="45.85546875" style="5" customWidth="1"/>
    <col min="1029" max="1029" width="10.7109375" style="5" customWidth="1"/>
    <col min="1030" max="1030" width="9" style="5" bestFit="1" customWidth="1"/>
    <col min="1031" max="1031" width="8" style="5" customWidth="1"/>
    <col min="1032" max="1032" width="7.7109375" style="5" customWidth="1"/>
    <col min="1033" max="1033" width="8.5703125" style="5" customWidth="1"/>
    <col min="1034" max="1035" width="7.7109375" style="5" customWidth="1"/>
    <col min="1036" max="1036" width="9.5703125" style="5" customWidth="1"/>
    <col min="1037" max="1037" width="10.140625" style="5" customWidth="1"/>
    <col min="1038" max="1038" width="9.140625" style="5"/>
    <col min="1039" max="1039" width="8.28515625" style="5" customWidth="1"/>
    <col min="1040" max="1040" width="11.5703125" style="5" customWidth="1"/>
    <col min="1041" max="1041" width="11.42578125" style="5" customWidth="1"/>
    <col min="1042" max="1042" width="15.140625" style="5" customWidth="1"/>
    <col min="1043" max="1043" width="29.28515625" style="5" customWidth="1"/>
    <col min="1044" max="1046" width="15.5703125" style="5" customWidth="1"/>
    <col min="1047" max="1280" width="9.140625" style="5"/>
    <col min="1281" max="1281" width="18.85546875" style="5" customWidth="1"/>
    <col min="1282" max="1282" width="7.28515625" style="5" customWidth="1"/>
    <col min="1283" max="1283" width="27.85546875" style="5" customWidth="1"/>
    <col min="1284" max="1284" width="45.85546875" style="5" customWidth="1"/>
    <col min="1285" max="1285" width="10.7109375" style="5" customWidth="1"/>
    <col min="1286" max="1286" width="9" style="5" bestFit="1" customWidth="1"/>
    <col min="1287" max="1287" width="8" style="5" customWidth="1"/>
    <col min="1288" max="1288" width="7.7109375" style="5" customWidth="1"/>
    <col min="1289" max="1289" width="8.5703125" style="5" customWidth="1"/>
    <col min="1290" max="1291" width="7.7109375" style="5" customWidth="1"/>
    <col min="1292" max="1292" width="9.5703125" style="5" customWidth="1"/>
    <col min="1293" max="1293" width="10.140625" style="5" customWidth="1"/>
    <col min="1294" max="1294" width="9.140625" style="5"/>
    <col min="1295" max="1295" width="8.28515625" style="5" customWidth="1"/>
    <col min="1296" max="1296" width="11.5703125" style="5" customWidth="1"/>
    <col min="1297" max="1297" width="11.42578125" style="5" customWidth="1"/>
    <col min="1298" max="1298" width="15.140625" style="5" customWidth="1"/>
    <col min="1299" max="1299" width="29.28515625" style="5" customWidth="1"/>
    <col min="1300" max="1302" width="15.5703125" style="5" customWidth="1"/>
    <col min="1303" max="1536" width="9.140625" style="5"/>
    <col min="1537" max="1537" width="18.85546875" style="5" customWidth="1"/>
    <col min="1538" max="1538" width="7.28515625" style="5" customWidth="1"/>
    <col min="1539" max="1539" width="27.85546875" style="5" customWidth="1"/>
    <col min="1540" max="1540" width="45.85546875" style="5" customWidth="1"/>
    <col min="1541" max="1541" width="10.7109375" style="5" customWidth="1"/>
    <col min="1542" max="1542" width="9" style="5" bestFit="1" customWidth="1"/>
    <col min="1543" max="1543" width="8" style="5" customWidth="1"/>
    <col min="1544" max="1544" width="7.7109375" style="5" customWidth="1"/>
    <col min="1545" max="1545" width="8.5703125" style="5" customWidth="1"/>
    <col min="1546" max="1547" width="7.7109375" style="5" customWidth="1"/>
    <col min="1548" max="1548" width="9.5703125" style="5" customWidth="1"/>
    <col min="1549" max="1549" width="10.140625" style="5" customWidth="1"/>
    <col min="1550" max="1550" width="9.140625" style="5"/>
    <col min="1551" max="1551" width="8.28515625" style="5" customWidth="1"/>
    <col min="1552" max="1552" width="11.5703125" style="5" customWidth="1"/>
    <col min="1553" max="1553" width="11.42578125" style="5" customWidth="1"/>
    <col min="1554" max="1554" width="15.140625" style="5" customWidth="1"/>
    <col min="1555" max="1555" width="29.28515625" style="5" customWidth="1"/>
    <col min="1556" max="1558" width="15.5703125" style="5" customWidth="1"/>
    <col min="1559" max="1792" width="9.140625" style="5"/>
    <col min="1793" max="1793" width="18.85546875" style="5" customWidth="1"/>
    <col min="1794" max="1794" width="7.28515625" style="5" customWidth="1"/>
    <col min="1795" max="1795" width="27.85546875" style="5" customWidth="1"/>
    <col min="1796" max="1796" width="45.85546875" style="5" customWidth="1"/>
    <col min="1797" max="1797" width="10.7109375" style="5" customWidth="1"/>
    <col min="1798" max="1798" width="9" style="5" bestFit="1" customWidth="1"/>
    <col min="1799" max="1799" width="8" style="5" customWidth="1"/>
    <col min="1800" max="1800" width="7.7109375" style="5" customWidth="1"/>
    <col min="1801" max="1801" width="8.5703125" style="5" customWidth="1"/>
    <col min="1802" max="1803" width="7.7109375" style="5" customWidth="1"/>
    <col min="1804" max="1804" width="9.5703125" style="5" customWidth="1"/>
    <col min="1805" max="1805" width="10.140625" style="5" customWidth="1"/>
    <col min="1806" max="1806" width="9.140625" style="5"/>
    <col min="1807" max="1807" width="8.28515625" style="5" customWidth="1"/>
    <col min="1808" max="1808" width="11.5703125" style="5" customWidth="1"/>
    <col min="1809" max="1809" width="11.42578125" style="5" customWidth="1"/>
    <col min="1810" max="1810" width="15.140625" style="5" customWidth="1"/>
    <col min="1811" max="1811" width="29.28515625" style="5" customWidth="1"/>
    <col min="1812" max="1814" width="15.5703125" style="5" customWidth="1"/>
    <col min="1815" max="2048" width="9.140625" style="5"/>
    <col min="2049" max="2049" width="18.85546875" style="5" customWidth="1"/>
    <col min="2050" max="2050" width="7.28515625" style="5" customWidth="1"/>
    <col min="2051" max="2051" width="27.85546875" style="5" customWidth="1"/>
    <col min="2052" max="2052" width="45.85546875" style="5" customWidth="1"/>
    <col min="2053" max="2053" width="10.7109375" style="5" customWidth="1"/>
    <col min="2054" max="2054" width="9" style="5" bestFit="1" customWidth="1"/>
    <col min="2055" max="2055" width="8" style="5" customWidth="1"/>
    <col min="2056" max="2056" width="7.7109375" style="5" customWidth="1"/>
    <col min="2057" max="2057" width="8.5703125" style="5" customWidth="1"/>
    <col min="2058" max="2059" width="7.7109375" style="5" customWidth="1"/>
    <col min="2060" max="2060" width="9.5703125" style="5" customWidth="1"/>
    <col min="2061" max="2061" width="10.140625" style="5" customWidth="1"/>
    <col min="2062" max="2062" width="9.140625" style="5"/>
    <col min="2063" max="2063" width="8.28515625" style="5" customWidth="1"/>
    <col min="2064" max="2064" width="11.5703125" style="5" customWidth="1"/>
    <col min="2065" max="2065" width="11.42578125" style="5" customWidth="1"/>
    <col min="2066" max="2066" width="15.140625" style="5" customWidth="1"/>
    <col min="2067" max="2067" width="29.28515625" style="5" customWidth="1"/>
    <col min="2068" max="2070" width="15.5703125" style="5" customWidth="1"/>
    <col min="2071" max="2304" width="9.140625" style="5"/>
    <col min="2305" max="2305" width="18.85546875" style="5" customWidth="1"/>
    <col min="2306" max="2306" width="7.28515625" style="5" customWidth="1"/>
    <col min="2307" max="2307" width="27.85546875" style="5" customWidth="1"/>
    <col min="2308" max="2308" width="45.85546875" style="5" customWidth="1"/>
    <col min="2309" max="2309" width="10.7109375" style="5" customWidth="1"/>
    <col min="2310" max="2310" width="9" style="5" bestFit="1" customWidth="1"/>
    <col min="2311" max="2311" width="8" style="5" customWidth="1"/>
    <col min="2312" max="2312" width="7.7109375" style="5" customWidth="1"/>
    <col min="2313" max="2313" width="8.5703125" style="5" customWidth="1"/>
    <col min="2314" max="2315" width="7.7109375" style="5" customWidth="1"/>
    <col min="2316" max="2316" width="9.5703125" style="5" customWidth="1"/>
    <col min="2317" max="2317" width="10.140625" style="5" customWidth="1"/>
    <col min="2318" max="2318" width="9.140625" style="5"/>
    <col min="2319" max="2319" width="8.28515625" style="5" customWidth="1"/>
    <col min="2320" max="2320" width="11.5703125" style="5" customWidth="1"/>
    <col min="2321" max="2321" width="11.42578125" style="5" customWidth="1"/>
    <col min="2322" max="2322" width="15.140625" style="5" customWidth="1"/>
    <col min="2323" max="2323" width="29.28515625" style="5" customWidth="1"/>
    <col min="2324" max="2326" width="15.5703125" style="5" customWidth="1"/>
    <col min="2327" max="2560" width="9.140625" style="5"/>
    <col min="2561" max="2561" width="18.85546875" style="5" customWidth="1"/>
    <col min="2562" max="2562" width="7.28515625" style="5" customWidth="1"/>
    <col min="2563" max="2563" width="27.85546875" style="5" customWidth="1"/>
    <col min="2564" max="2564" width="45.85546875" style="5" customWidth="1"/>
    <col min="2565" max="2565" width="10.7109375" style="5" customWidth="1"/>
    <col min="2566" max="2566" width="9" style="5" bestFit="1" customWidth="1"/>
    <col min="2567" max="2567" width="8" style="5" customWidth="1"/>
    <col min="2568" max="2568" width="7.7109375" style="5" customWidth="1"/>
    <col min="2569" max="2569" width="8.5703125" style="5" customWidth="1"/>
    <col min="2570" max="2571" width="7.7109375" style="5" customWidth="1"/>
    <col min="2572" max="2572" width="9.5703125" style="5" customWidth="1"/>
    <col min="2573" max="2573" width="10.140625" style="5" customWidth="1"/>
    <col min="2574" max="2574" width="9.140625" style="5"/>
    <col min="2575" max="2575" width="8.28515625" style="5" customWidth="1"/>
    <col min="2576" max="2576" width="11.5703125" style="5" customWidth="1"/>
    <col min="2577" max="2577" width="11.42578125" style="5" customWidth="1"/>
    <col min="2578" max="2578" width="15.140625" style="5" customWidth="1"/>
    <col min="2579" max="2579" width="29.28515625" style="5" customWidth="1"/>
    <col min="2580" max="2582" width="15.5703125" style="5" customWidth="1"/>
    <col min="2583" max="2816" width="9.140625" style="5"/>
    <col min="2817" max="2817" width="18.85546875" style="5" customWidth="1"/>
    <col min="2818" max="2818" width="7.28515625" style="5" customWidth="1"/>
    <col min="2819" max="2819" width="27.85546875" style="5" customWidth="1"/>
    <col min="2820" max="2820" width="45.85546875" style="5" customWidth="1"/>
    <col min="2821" max="2821" width="10.7109375" style="5" customWidth="1"/>
    <col min="2822" max="2822" width="9" style="5" bestFit="1" customWidth="1"/>
    <col min="2823" max="2823" width="8" style="5" customWidth="1"/>
    <col min="2824" max="2824" width="7.7109375" style="5" customWidth="1"/>
    <col min="2825" max="2825" width="8.5703125" style="5" customWidth="1"/>
    <col min="2826" max="2827" width="7.7109375" style="5" customWidth="1"/>
    <col min="2828" max="2828" width="9.5703125" style="5" customWidth="1"/>
    <col min="2829" max="2829" width="10.140625" style="5" customWidth="1"/>
    <col min="2830" max="2830" width="9.140625" style="5"/>
    <col min="2831" max="2831" width="8.28515625" style="5" customWidth="1"/>
    <col min="2832" max="2832" width="11.5703125" style="5" customWidth="1"/>
    <col min="2833" max="2833" width="11.42578125" style="5" customWidth="1"/>
    <col min="2834" max="2834" width="15.140625" style="5" customWidth="1"/>
    <col min="2835" max="2835" width="29.28515625" style="5" customWidth="1"/>
    <col min="2836" max="2838" width="15.5703125" style="5" customWidth="1"/>
    <col min="2839" max="3072" width="9.140625" style="5"/>
    <col min="3073" max="3073" width="18.85546875" style="5" customWidth="1"/>
    <col min="3074" max="3074" width="7.28515625" style="5" customWidth="1"/>
    <col min="3075" max="3075" width="27.85546875" style="5" customWidth="1"/>
    <col min="3076" max="3076" width="45.85546875" style="5" customWidth="1"/>
    <col min="3077" max="3077" width="10.7109375" style="5" customWidth="1"/>
    <col min="3078" max="3078" width="9" style="5" bestFit="1" customWidth="1"/>
    <col min="3079" max="3079" width="8" style="5" customWidth="1"/>
    <col min="3080" max="3080" width="7.7109375" style="5" customWidth="1"/>
    <col min="3081" max="3081" width="8.5703125" style="5" customWidth="1"/>
    <col min="3082" max="3083" width="7.7109375" style="5" customWidth="1"/>
    <col min="3084" max="3084" width="9.5703125" style="5" customWidth="1"/>
    <col min="3085" max="3085" width="10.140625" style="5" customWidth="1"/>
    <col min="3086" max="3086" width="9.140625" style="5"/>
    <col min="3087" max="3087" width="8.28515625" style="5" customWidth="1"/>
    <col min="3088" max="3088" width="11.5703125" style="5" customWidth="1"/>
    <col min="3089" max="3089" width="11.42578125" style="5" customWidth="1"/>
    <col min="3090" max="3090" width="15.140625" style="5" customWidth="1"/>
    <col min="3091" max="3091" width="29.28515625" style="5" customWidth="1"/>
    <col min="3092" max="3094" width="15.5703125" style="5" customWidth="1"/>
    <col min="3095" max="3328" width="9.140625" style="5"/>
    <col min="3329" max="3329" width="18.85546875" style="5" customWidth="1"/>
    <col min="3330" max="3330" width="7.28515625" style="5" customWidth="1"/>
    <col min="3331" max="3331" width="27.85546875" style="5" customWidth="1"/>
    <col min="3332" max="3332" width="45.85546875" style="5" customWidth="1"/>
    <col min="3333" max="3333" width="10.7109375" style="5" customWidth="1"/>
    <col min="3334" max="3334" width="9" style="5" bestFit="1" customWidth="1"/>
    <col min="3335" max="3335" width="8" style="5" customWidth="1"/>
    <col min="3336" max="3336" width="7.7109375" style="5" customWidth="1"/>
    <col min="3337" max="3337" width="8.5703125" style="5" customWidth="1"/>
    <col min="3338" max="3339" width="7.7109375" style="5" customWidth="1"/>
    <col min="3340" max="3340" width="9.5703125" style="5" customWidth="1"/>
    <col min="3341" max="3341" width="10.140625" style="5" customWidth="1"/>
    <col min="3342" max="3342" width="9.140625" style="5"/>
    <col min="3343" max="3343" width="8.28515625" style="5" customWidth="1"/>
    <col min="3344" max="3344" width="11.5703125" style="5" customWidth="1"/>
    <col min="3345" max="3345" width="11.42578125" style="5" customWidth="1"/>
    <col min="3346" max="3346" width="15.140625" style="5" customWidth="1"/>
    <col min="3347" max="3347" width="29.28515625" style="5" customWidth="1"/>
    <col min="3348" max="3350" width="15.5703125" style="5" customWidth="1"/>
    <col min="3351" max="3584" width="9.140625" style="5"/>
    <col min="3585" max="3585" width="18.85546875" style="5" customWidth="1"/>
    <col min="3586" max="3586" width="7.28515625" style="5" customWidth="1"/>
    <col min="3587" max="3587" width="27.85546875" style="5" customWidth="1"/>
    <col min="3588" max="3588" width="45.85546875" style="5" customWidth="1"/>
    <col min="3589" max="3589" width="10.7109375" style="5" customWidth="1"/>
    <col min="3590" max="3590" width="9" style="5" bestFit="1" customWidth="1"/>
    <col min="3591" max="3591" width="8" style="5" customWidth="1"/>
    <col min="3592" max="3592" width="7.7109375" style="5" customWidth="1"/>
    <col min="3593" max="3593" width="8.5703125" style="5" customWidth="1"/>
    <col min="3594" max="3595" width="7.7109375" style="5" customWidth="1"/>
    <col min="3596" max="3596" width="9.5703125" style="5" customWidth="1"/>
    <col min="3597" max="3597" width="10.140625" style="5" customWidth="1"/>
    <col min="3598" max="3598" width="9.140625" style="5"/>
    <col min="3599" max="3599" width="8.28515625" style="5" customWidth="1"/>
    <col min="3600" max="3600" width="11.5703125" style="5" customWidth="1"/>
    <col min="3601" max="3601" width="11.42578125" style="5" customWidth="1"/>
    <col min="3602" max="3602" width="15.140625" style="5" customWidth="1"/>
    <col min="3603" max="3603" width="29.28515625" style="5" customWidth="1"/>
    <col min="3604" max="3606" width="15.5703125" style="5" customWidth="1"/>
    <col min="3607" max="3840" width="9.140625" style="5"/>
    <col min="3841" max="3841" width="18.85546875" style="5" customWidth="1"/>
    <col min="3842" max="3842" width="7.28515625" style="5" customWidth="1"/>
    <col min="3843" max="3843" width="27.85546875" style="5" customWidth="1"/>
    <col min="3844" max="3844" width="45.85546875" style="5" customWidth="1"/>
    <col min="3845" max="3845" width="10.7109375" style="5" customWidth="1"/>
    <col min="3846" max="3846" width="9" style="5" bestFit="1" customWidth="1"/>
    <col min="3847" max="3847" width="8" style="5" customWidth="1"/>
    <col min="3848" max="3848" width="7.7109375" style="5" customWidth="1"/>
    <col min="3849" max="3849" width="8.5703125" style="5" customWidth="1"/>
    <col min="3850" max="3851" width="7.7109375" style="5" customWidth="1"/>
    <col min="3852" max="3852" width="9.5703125" style="5" customWidth="1"/>
    <col min="3853" max="3853" width="10.140625" style="5" customWidth="1"/>
    <col min="3854" max="3854" width="9.140625" style="5"/>
    <col min="3855" max="3855" width="8.28515625" style="5" customWidth="1"/>
    <col min="3856" max="3856" width="11.5703125" style="5" customWidth="1"/>
    <col min="3857" max="3857" width="11.42578125" style="5" customWidth="1"/>
    <col min="3858" max="3858" width="15.140625" style="5" customWidth="1"/>
    <col min="3859" max="3859" width="29.28515625" style="5" customWidth="1"/>
    <col min="3860" max="3862" width="15.5703125" style="5" customWidth="1"/>
    <col min="3863" max="4096" width="9.140625" style="5"/>
    <col min="4097" max="4097" width="18.85546875" style="5" customWidth="1"/>
    <col min="4098" max="4098" width="7.28515625" style="5" customWidth="1"/>
    <col min="4099" max="4099" width="27.85546875" style="5" customWidth="1"/>
    <col min="4100" max="4100" width="45.85546875" style="5" customWidth="1"/>
    <col min="4101" max="4101" width="10.7109375" style="5" customWidth="1"/>
    <col min="4102" max="4102" width="9" style="5" bestFit="1" customWidth="1"/>
    <col min="4103" max="4103" width="8" style="5" customWidth="1"/>
    <col min="4104" max="4104" width="7.7109375" style="5" customWidth="1"/>
    <col min="4105" max="4105" width="8.5703125" style="5" customWidth="1"/>
    <col min="4106" max="4107" width="7.7109375" style="5" customWidth="1"/>
    <col min="4108" max="4108" width="9.5703125" style="5" customWidth="1"/>
    <col min="4109" max="4109" width="10.140625" style="5" customWidth="1"/>
    <col min="4110" max="4110" width="9.140625" style="5"/>
    <col min="4111" max="4111" width="8.28515625" style="5" customWidth="1"/>
    <col min="4112" max="4112" width="11.5703125" style="5" customWidth="1"/>
    <col min="4113" max="4113" width="11.42578125" style="5" customWidth="1"/>
    <col min="4114" max="4114" width="15.140625" style="5" customWidth="1"/>
    <col min="4115" max="4115" width="29.28515625" style="5" customWidth="1"/>
    <col min="4116" max="4118" width="15.5703125" style="5" customWidth="1"/>
    <col min="4119" max="4352" width="9.140625" style="5"/>
    <col min="4353" max="4353" width="18.85546875" style="5" customWidth="1"/>
    <col min="4354" max="4354" width="7.28515625" style="5" customWidth="1"/>
    <col min="4355" max="4355" width="27.85546875" style="5" customWidth="1"/>
    <col min="4356" max="4356" width="45.85546875" style="5" customWidth="1"/>
    <col min="4357" max="4357" width="10.7109375" style="5" customWidth="1"/>
    <col min="4358" max="4358" width="9" style="5" bestFit="1" customWidth="1"/>
    <col min="4359" max="4359" width="8" style="5" customWidth="1"/>
    <col min="4360" max="4360" width="7.7109375" style="5" customWidth="1"/>
    <col min="4361" max="4361" width="8.5703125" style="5" customWidth="1"/>
    <col min="4362" max="4363" width="7.7109375" style="5" customWidth="1"/>
    <col min="4364" max="4364" width="9.5703125" style="5" customWidth="1"/>
    <col min="4365" max="4365" width="10.140625" style="5" customWidth="1"/>
    <col min="4366" max="4366" width="9.140625" style="5"/>
    <col min="4367" max="4367" width="8.28515625" style="5" customWidth="1"/>
    <col min="4368" max="4368" width="11.5703125" style="5" customWidth="1"/>
    <col min="4369" max="4369" width="11.42578125" style="5" customWidth="1"/>
    <col min="4370" max="4370" width="15.140625" style="5" customWidth="1"/>
    <col min="4371" max="4371" width="29.28515625" style="5" customWidth="1"/>
    <col min="4372" max="4374" width="15.5703125" style="5" customWidth="1"/>
    <col min="4375" max="4608" width="9.140625" style="5"/>
    <col min="4609" max="4609" width="18.85546875" style="5" customWidth="1"/>
    <col min="4610" max="4610" width="7.28515625" style="5" customWidth="1"/>
    <col min="4611" max="4611" width="27.85546875" style="5" customWidth="1"/>
    <col min="4612" max="4612" width="45.85546875" style="5" customWidth="1"/>
    <col min="4613" max="4613" width="10.7109375" style="5" customWidth="1"/>
    <col min="4614" max="4614" width="9" style="5" bestFit="1" customWidth="1"/>
    <col min="4615" max="4615" width="8" style="5" customWidth="1"/>
    <col min="4616" max="4616" width="7.7109375" style="5" customWidth="1"/>
    <col min="4617" max="4617" width="8.5703125" style="5" customWidth="1"/>
    <col min="4618" max="4619" width="7.7109375" style="5" customWidth="1"/>
    <col min="4620" max="4620" width="9.5703125" style="5" customWidth="1"/>
    <col min="4621" max="4621" width="10.140625" style="5" customWidth="1"/>
    <col min="4622" max="4622" width="9.140625" style="5"/>
    <col min="4623" max="4623" width="8.28515625" style="5" customWidth="1"/>
    <col min="4624" max="4624" width="11.5703125" style="5" customWidth="1"/>
    <col min="4625" max="4625" width="11.42578125" style="5" customWidth="1"/>
    <col min="4626" max="4626" width="15.140625" style="5" customWidth="1"/>
    <col min="4627" max="4627" width="29.28515625" style="5" customWidth="1"/>
    <col min="4628" max="4630" width="15.5703125" style="5" customWidth="1"/>
    <col min="4631" max="4864" width="9.140625" style="5"/>
    <col min="4865" max="4865" width="18.85546875" style="5" customWidth="1"/>
    <col min="4866" max="4866" width="7.28515625" style="5" customWidth="1"/>
    <col min="4867" max="4867" width="27.85546875" style="5" customWidth="1"/>
    <col min="4868" max="4868" width="45.85546875" style="5" customWidth="1"/>
    <col min="4869" max="4869" width="10.7109375" style="5" customWidth="1"/>
    <col min="4870" max="4870" width="9" style="5" bestFit="1" customWidth="1"/>
    <col min="4871" max="4871" width="8" style="5" customWidth="1"/>
    <col min="4872" max="4872" width="7.7109375" style="5" customWidth="1"/>
    <col min="4873" max="4873" width="8.5703125" style="5" customWidth="1"/>
    <col min="4874" max="4875" width="7.7109375" style="5" customWidth="1"/>
    <col min="4876" max="4876" width="9.5703125" style="5" customWidth="1"/>
    <col min="4877" max="4877" width="10.140625" style="5" customWidth="1"/>
    <col min="4878" max="4878" width="9.140625" style="5"/>
    <col min="4879" max="4879" width="8.28515625" style="5" customWidth="1"/>
    <col min="4880" max="4880" width="11.5703125" style="5" customWidth="1"/>
    <col min="4881" max="4881" width="11.42578125" style="5" customWidth="1"/>
    <col min="4882" max="4882" width="15.140625" style="5" customWidth="1"/>
    <col min="4883" max="4883" width="29.28515625" style="5" customWidth="1"/>
    <col min="4884" max="4886" width="15.5703125" style="5" customWidth="1"/>
    <col min="4887" max="5120" width="9.140625" style="5"/>
    <col min="5121" max="5121" width="18.85546875" style="5" customWidth="1"/>
    <col min="5122" max="5122" width="7.28515625" style="5" customWidth="1"/>
    <col min="5123" max="5123" width="27.85546875" style="5" customWidth="1"/>
    <col min="5124" max="5124" width="45.85546875" style="5" customWidth="1"/>
    <col min="5125" max="5125" width="10.7109375" style="5" customWidth="1"/>
    <col min="5126" max="5126" width="9" style="5" bestFit="1" customWidth="1"/>
    <col min="5127" max="5127" width="8" style="5" customWidth="1"/>
    <col min="5128" max="5128" width="7.7109375" style="5" customWidth="1"/>
    <col min="5129" max="5129" width="8.5703125" style="5" customWidth="1"/>
    <col min="5130" max="5131" width="7.7109375" style="5" customWidth="1"/>
    <col min="5132" max="5132" width="9.5703125" style="5" customWidth="1"/>
    <col min="5133" max="5133" width="10.140625" style="5" customWidth="1"/>
    <col min="5134" max="5134" width="9.140625" style="5"/>
    <col min="5135" max="5135" width="8.28515625" style="5" customWidth="1"/>
    <col min="5136" max="5136" width="11.5703125" style="5" customWidth="1"/>
    <col min="5137" max="5137" width="11.42578125" style="5" customWidth="1"/>
    <col min="5138" max="5138" width="15.140625" style="5" customWidth="1"/>
    <col min="5139" max="5139" width="29.28515625" style="5" customWidth="1"/>
    <col min="5140" max="5142" width="15.5703125" style="5" customWidth="1"/>
    <col min="5143" max="5376" width="9.140625" style="5"/>
    <col min="5377" max="5377" width="18.85546875" style="5" customWidth="1"/>
    <col min="5378" max="5378" width="7.28515625" style="5" customWidth="1"/>
    <col min="5379" max="5379" width="27.85546875" style="5" customWidth="1"/>
    <col min="5380" max="5380" width="45.85546875" style="5" customWidth="1"/>
    <col min="5381" max="5381" width="10.7109375" style="5" customWidth="1"/>
    <col min="5382" max="5382" width="9" style="5" bestFit="1" customWidth="1"/>
    <col min="5383" max="5383" width="8" style="5" customWidth="1"/>
    <col min="5384" max="5384" width="7.7109375" style="5" customWidth="1"/>
    <col min="5385" max="5385" width="8.5703125" style="5" customWidth="1"/>
    <col min="5386" max="5387" width="7.7109375" style="5" customWidth="1"/>
    <col min="5388" max="5388" width="9.5703125" style="5" customWidth="1"/>
    <col min="5389" max="5389" width="10.140625" style="5" customWidth="1"/>
    <col min="5390" max="5390" width="9.140625" style="5"/>
    <col min="5391" max="5391" width="8.28515625" style="5" customWidth="1"/>
    <col min="5392" max="5392" width="11.5703125" style="5" customWidth="1"/>
    <col min="5393" max="5393" width="11.42578125" style="5" customWidth="1"/>
    <col min="5394" max="5394" width="15.140625" style="5" customWidth="1"/>
    <col min="5395" max="5395" width="29.28515625" style="5" customWidth="1"/>
    <col min="5396" max="5398" width="15.5703125" style="5" customWidth="1"/>
    <col min="5399" max="5632" width="9.140625" style="5"/>
    <col min="5633" max="5633" width="18.85546875" style="5" customWidth="1"/>
    <col min="5634" max="5634" width="7.28515625" style="5" customWidth="1"/>
    <col min="5635" max="5635" width="27.85546875" style="5" customWidth="1"/>
    <col min="5636" max="5636" width="45.85546875" style="5" customWidth="1"/>
    <col min="5637" max="5637" width="10.7109375" style="5" customWidth="1"/>
    <col min="5638" max="5638" width="9" style="5" bestFit="1" customWidth="1"/>
    <col min="5639" max="5639" width="8" style="5" customWidth="1"/>
    <col min="5640" max="5640" width="7.7109375" style="5" customWidth="1"/>
    <col min="5641" max="5641" width="8.5703125" style="5" customWidth="1"/>
    <col min="5642" max="5643" width="7.7109375" style="5" customWidth="1"/>
    <col min="5644" max="5644" width="9.5703125" style="5" customWidth="1"/>
    <col min="5645" max="5645" width="10.140625" style="5" customWidth="1"/>
    <col min="5646" max="5646" width="9.140625" style="5"/>
    <col min="5647" max="5647" width="8.28515625" style="5" customWidth="1"/>
    <col min="5648" max="5648" width="11.5703125" style="5" customWidth="1"/>
    <col min="5649" max="5649" width="11.42578125" style="5" customWidth="1"/>
    <col min="5650" max="5650" width="15.140625" style="5" customWidth="1"/>
    <col min="5651" max="5651" width="29.28515625" style="5" customWidth="1"/>
    <col min="5652" max="5654" width="15.5703125" style="5" customWidth="1"/>
    <col min="5655" max="5888" width="9.140625" style="5"/>
    <col min="5889" max="5889" width="18.85546875" style="5" customWidth="1"/>
    <col min="5890" max="5890" width="7.28515625" style="5" customWidth="1"/>
    <col min="5891" max="5891" width="27.85546875" style="5" customWidth="1"/>
    <col min="5892" max="5892" width="45.85546875" style="5" customWidth="1"/>
    <col min="5893" max="5893" width="10.7109375" style="5" customWidth="1"/>
    <col min="5894" max="5894" width="9" style="5" bestFit="1" customWidth="1"/>
    <col min="5895" max="5895" width="8" style="5" customWidth="1"/>
    <col min="5896" max="5896" width="7.7109375" style="5" customWidth="1"/>
    <col min="5897" max="5897" width="8.5703125" style="5" customWidth="1"/>
    <col min="5898" max="5899" width="7.7109375" style="5" customWidth="1"/>
    <col min="5900" max="5900" width="9.5703125" style="5" customWidth="1"/>
    <col min="5901" max="5901" width="10.140625" style="5" customWidth="1"/>
    <col min="5902" max="5902" width="9.140625" style="5"/>
    <col min="5903" max="5903" width="8.28515625" style="5" customWidth="1"/>
    <col min="5904" max="5904" width="11.5703125" style="5" customWidth="1"/>
    <col min="5905" max="5905" width="11.42578125" style="5" customWidth="1"/>
    <col min="5906" max="5906" width="15.140625" style="5" customWidth="1"/>
    <col min="5907" max="5907" width="29.28515625" style="5" customWidth="1"/>
    <col min="5908" max="5910" width="15.5703125" style="5" customWidth="1"/>
    <col min="5911" max="6144" width="9.140625" style="5"/>
    <col min="6145" max="6145" width="18.85546875" style="5" customWidth="1"/>
    <col min="6146" max="6146" width="7.28515625" style="5" customWidth="1"/>
    <col min="6147" max="6147" width="27.85546875" style="5" customWidth="1"/>
    <col min="6148" max="6148" width="45.85546875" style="5" customWidth="1"/>
    <col min="6149" max="6149" width="10.7109375" style="5" customWidth="1"/>
    <col min="6150" max="6150" width="9" style="5" bestFit="1" customWidth="1"/>
    <col min="6151" max="6151" width="8" style="5" customWidth="1"/>
    <col min="6152" max="6152" width="7.7109375" style="5" customWidth="1"/>
    <col min="6153" max="6153" width="8.5703125" style="5" customWidth="1"/>
    <col min="6154" max="6155" width="7.7109375" style="5" customWidth="1"/>
    <col min="6156" max="6156" width="9.5703125" style="5" customWidth="1"/>
    <col min="6157" max="6157" width="10.140625" style="5" customWidth="1"/>
    <col min="6158" max="6158" width="9.140625" style="5"/>
    <col min="6159" max="6159" width="8.28515625" style="5" customWidth="1"/>
    <col min="6160" max="6160" width="11.5703125" style="5" customWidth="1"/>
    <col min="6161" max="6161" width="11.42578125" style="5" customWidth="1"/>
    <col min="6162" max="6162" width="15.140625" style="5" customWidth="1"/>
    <col min="6163" max="6163" width="29.28515625" style="5" customWidth="1"/>
    <col min="6164" max="6166" width="15.5703125" style="5" customWidth="1"/>
    <col min="6167" max="6400" width="9.140625" style="5"/>
    <col min="6401" max="6401" width="18.85546875" style="5" customWidth="1"/>
    <col min="6402" max="6402" width="7.28515625" style="5" customWidth="1"/>
    <col min="6403" max="6403" width="27.85546875" style="5" customWidth="1"/>
    <col min="6404" max="6404" width="45.85546875" style="5" customWidth="1"/>
    <col min="6405" max="6405" width="10.7109375" style="5" customWidth="1"/>
    <col min="6406" max="6406" width="9" style="5" bestFit="1" customWidth="1"/>
    <col min="6407" max="6407" width="8" style="5" customWidth="1"/>
    <col min="6408" max="6408" width="7.7109375" style="5" customWidth="1"/>
    <col min="6409" max="6409" width="8.5703125" style="5" customWidth="1"/>
    <col min="6410" max="6411" width="7.7109375" style="5" customWidth="1"/>
    <col min="6412" max="6412" width="9.5703125" style="5" customWidth="1"/>
    <col min="6413" max="6413" width="10.140625" style="5" customWidth="1"/>
    <col min="6414" max="6414" width="9.140625" style="5"/>
    <col min="6415" max="6415" width="8.28515625" style="5" customWidth="1"/>
    <col min="6416" max="6416" width="11.5703125" style="5" customWidth="1"/>
    <col min="6417" max="6417" width="11.42578125" style="5" customWidth="1"/>
    <col min="6418" max="6418" width="15.140625" style="5" customWidth="1"/>
    <col min="6419" max="6419" width="29.28515625" style="5" customWidth="1"/>
    <col min="6420" max="6422" width="15.5703125" style="5" customWidth="1"/>
    <col min="6423" max="6656" width="9.140625" style="5"/>
    <col min="6657" max="6657" width="18.85546875" style="5" customWidth="1"/>
    <col min="6658" max="6658" width="7.28515625" style="5" customWidth="1"/>
    <col min="6659" max="6659" width="27.85546875" style="5" customWidth="1"/>
    <col min="6660" max="6660" width="45.85546875" style="5" customWidth="1"/>
    <col min="6661" max="6661" width="10.7109375" style="5" customWidth="1"/>
    <col min="6662" max="6662" width="9" style="5" bestFit="1" customWidth="1"/>
    <col min="6663" max="6663" width="8" style="5" customWidth="1"/>
    <col min="6664" max="6664" width="7.7109375" style="5" customWidth="1"/>
    <col min="6665" max="6665" width="8.5703125" style="5" customWidth="1"/>
    <col min="6666" max="6667" width="7.7109375" style="5" customWidth="1"/>
    <col min="6668" max="6668" width="9.5703125" style="5" customWidth="1"/>
    <col min="6669" max="6669" width="10.140625" style="5" customWidth="1"/>
    <col min="6670" max="6670" width="9.140625" style="5"/>
    <col min="6671" max="6671" width="8.28515625" style="5" customWidth="1"/>
    <col min="6672" max="6672" width="11.5703125" style="5" customWidth="1"/>
    <col min="6673" max="6673" width="11.42578125" style="5" customWidth="1"/>
    <col min="6674" max="6674" width="15.140625" style="5" customWidth="1"/>
    <col min="6675" max="6675" width="29.28515625" style="5" customWidth="1"/>
    <col min="6676" max="6678" width="15.5703125" style="5" customWidth="1"/>
    <col min="6679" max="6912" width="9.140625" style="5"/>
    <col min="6913" max="6913" width="18.85546875" style="5" customWidth="1"/>
    <col min="6914" max="6914" width="7.28515625" style="5" customWidth="1"/>
    <col min="6915" max="6915" width="27.85546875" style="5" customWidth="1"/>
    <col min="6916" max="6916" width="45.85546875" style="5" customWidth="1"/>
    <col min="6917" max="6917" width="10.7109375" style="5" customWidth="1"/>
    <col min="6918" max="6918" width="9" style="5" bestFit="1" customWidth="1"/>
    <col min="6919" max="6919" width="8" style="5" customWidth="1"/>
    <col min="6920" max="6920" width="7.7109375" style="5" customWidth="1"/>
    <col min="6921" max="6921" width="8.5703125" style="5" customWidth="1"/>
    <col min="6922" max="6923" width="7.7109375" style="5" customWidth="1"/>
    <col min="6924" max="6924" width="9.5703125" style="5" customWidth="1"/>
    <col min="6925" max="6925" width="10.140625" style="5" customWidth="1"/>
    <col min="6926" max="6926" width="9.140625" style="5"/>
    <col min="6927" max="6927" width="8.28515625" style="5" customWidth="1"/>
    <col min="6928" max="6928" width="11.5703125" style="5" customWidth="1"/>
    <col min="6929" max="6929" width="11.42578125" style="5" customWidth="1"/>
    <col min="6930" max="6930" width="15.140625" style="5" customWidth="1"/>
    <col min="6931" max="6931" width="29.28515625" style="5" customWidth="1"/>
    <col min="6932" max="6934" width="15.5703125" style="5" customWidth="1"/>
    <col min="6935" max="7168" width="9.140625" style="5"/>
    <col min="7169" max="7169" width="18.85546875" style="5" customWidth="1"/>
    <col min="7170" max="7170" width="7.28515625" style="5" customWidth="1"/>
    <col min="7171" max="7171" width="27.85546875" style="5" customWidth="1"/>
    <col min="7172" max="7172" width="45.85546875" style="5" customWidth="1"/>
    <col min="7173" max="7173" width="10.7109375" style="5" customWidth="1"/>
    <col min="7174" max="7174" width="9" style="5" bestFit="1" customWidth="1"/>
    <col min="7175" max="7175" width="8" style="5" customWidth="1"/>
    <col min="7176" max="7176" width="7.7109375" style="5" customWidth="1"/>
    <col min="7177" max="7177" width="8.5703125" style="5" customWidth="1"/>
    <col min="7178" max="7179" width="7.7109375" style="5" customWidth="1"/>
    <col min="7180" max="7180" width="9.5703125" style="5" customWidth="1"/>
    <col min="7181" max="7181" width="10.140625" style="5" customWidth="1"/>
    <col min="7182" max="7182" width="9.140625" style="5"/>
    <col min="7183" max="7183" width="8.28515625" style="5" customWidth="1"/>
    <col min="7184" max="7184" width="11.5703125" style="5" customWidth="1"/>
    <col min="7185" max="7185" width="11.42578125" style="5" customWidth="1"/>
    <col min="7186" max="7186" width="15.140625" style="5" customWidth="1"/>
    <col min="7187" max="7187" width="29.28515625" style="5" customWidth="1"/>
    <col min="7188" max="7190" width="15.5703125" style="5" customWidth="1"/>
    <col min="7191" max="7424" width="9.140625" style="5"/>
    <col min="7425" max="7425" width="18.85546875" style="5" customWidth="1"/>
    <col min="7426" max="7426" width="7.28515625" style="5" customWidth="1"/>
    <col min="7427" max="7427" width="27.85546875" style="5" customWidth="1"/>
    <col min="7428" max="7428" width="45.85546875" style="5" customWidth="1"/>
    <col min="7429" max="7429" width="10.7109375" style="5" customWidth="1"/>
    <col min="7430" max="7430" width="9" style="5" bestFit="1" customWidth="1"/>
    <col min="7431" max="7431" width="8" style="5" customWidth="1"/>
    <col min="7432" max="7432" width="7.7109375" style="5" customWidth="1"/>
    <col min="7433" max="7433" width="8.5703125" style="5" customWidth="1"/>
    <col min="7434" max="7435" width="7.7109375" style="5" customWidth="1"/>
    <col min="7436" max="7436" width="9.5703125" style="5" customWidth="1"/>
    <col min="7437" max="7437" width="10.140625" style="5" customWidth="1"/>
    <col min="7438" max="7438" width="9.140625" style="5"/>
    <col min="7439" max="7439" width="8.28515625" style="5" customWidth="1"/>
    <col min="7440" max="7440" width="11.5703125" style="5" customWidth="1"/>
    <col min="7441" max="7441" width="11.42578125" style="5" customWidth="1"/>
    <col min="7442" max="7442" width="15.140625" style="5" customWidth="1"/>
    <col min="7443" max="7443" width="29.28515625" style="5" customWidth="1"/>
    <col min="7444" max="7446" width="15.5703125" style="5" customWidth="1"/>
    <col min="7447" max="7680" width="9.140625" style="5"/>
    <col min="7681" max="7681" width="18.85546875" style="5" customWidth="1"/>
    <col min="7682" max="7682" width="7.28515625" style="5" customWidth="1"/>
    <col min="7683" max="7683" width="27.85546875" style="5" customWidth="1"/>
    <col min="7684" max="7684" width="45.85546875" style="5" customWidth="1"/>
    <col min="7685" max="7685" width="10.7109375" style="5" customWidth="1"/>
    <col min="7686" max="7686" width="9" style="5" bestFit="1" customWidth="1"/>
    <col min="7687" max="7687" width="8" style="5" customWidth="1"/>
    <col min="7688" max="7688" width="7.7109375" style="5" customWidth="1"/>
    <col min="7689" max="7689" width="8.5703125" style="5" customWidth="1"/>
    <col min="7690" max="7691" width="7.7109375" style="5" customWidth="1"/>
    <col min="7692" max="7692" width="9.5703125" style="5" customWidth="1"/>
    <col min="7693" max="7693" width="10.140625" style="5" customWidth="1"/>
    <col min="7694" max="7694" width="9.140625" style="5"/>
    <col min="7695" max="7695" width="8.28515625" style="5" customWidth="1"/>
    <col min="7696" max="7696" width="11.5703125" style="5" customWidth="1"/>
    <col min="7697" max="7697" width="11.42578125" style="5" customWidth="1"/>
    <col min="7698" max="7698" width="15.140625" style="5" customWidth="1"/>
    <col min="7699" max="7699" width="29.28515625" style="5" customWidth="1"/>
    <col min="7700" max="7702" width="15.5703125" style="5" customWidth="1"/>
    <col min="7703" max="7936" width="9.140625" style="5"/>
    <col min="7937" max="7937" width="18.85546875" style="5" customWidth="1"/>
    <col min="7938" max="7938" width="7.28515625" style="5" customWidth="1"/>
    <col min="7939" max="7939" width="27.85546875" style="5" customWidth="1"/>
    <col min="7940" max="7940" width="45.85546875" style="5" customWidth="1"/>
    <col min="7941" max="7941" width="10.7109375" style="5" customWidth="1"/>
    <col min="7942" max="7942" width="9" style="5" bestFit="1" customWidth="1"/>
    <col min="7943" max="7943" width="8" style="5" customWidth="1"/>
    <col min="7944" max="7944" width="7.7109375" style="5" customWidth="1"/>
    <col min="7945" max="7945" width="8.5703125" style="5" customWidth="1"/>
    <col min="7946" max="7947" width="7.7109375" style="5" customWidth="1"/>
    <col min="7948" max="7948" width="9.5703125" style="5" customWidth="1"/>
    <col min="7949" max="7949" width="10.140625" style="5" customWidth="1"/>
    <col min="7950" max="7950" width="9.140625" style="5"/>
    <col min="7951" max="7951" width="8.28515625" style="5" customWidth="1"/>
    <col min="7952" max="7952" width="11.5703125" style="5" customWidth="1"/>
    <col min="7953" max="7953" width="11.42578125" style="5" customWidth="1"/>
    <col min="7954" max="7954" width="15.140625" style="5" customWidth="1"/>
    <col min="7955" max="7955" width="29.28515625" style="5" customWidth="1"/>
    <col min="7956" max="7958" width="15.5703125" style="5" customWidth="1"/>
    <col min="7959" max="8192" width="9.140625" style="5"/>
    <col min="8193" max="8193" width="18.85546875" style="5" customWidth="1"/>
    <col min="8194" max="8194" width="7.28515625" style="5" customWidth="1"/>
    <col min="8195" max="8195" width="27.85546875" style="5" customWidth="1"/>
    <col min="8196" max="8196" width="45.85546875" style="5" customWidth="1"/>
    <col min="8197" max="8197" width="10.7109375" style="5" customWidth="1"/>
    <col min="8198" max="8198" width="9" style="5" bestFit="1" customWidth="1"/>
    <col min="8199" max="8199" width="8" style="5" customWidth="1"/>
    <col min="8200" max="8200" width="7.7109375" style="5" customWidth="1"/>
    <col min="8201" max="8201" width="8.5703125" style="5" customWidth="1"/>
    <col min="8202" max="8203" width="7.7109375" style="5" customWidth="1"/>
    <col min="8204" max="8204" width="9.5703125" style="5" customWidth="1"/>
    <col min="8205" max="8205" width="10.140625" style="5" customWidth="1"/>
    <col min="8206" max="8206" width="9.140625" style="5"/>
    <col min="8207" max="8207" width="8.28515625" style="5" customWidth="1"/>
    <col min="8208" max="8208" width="11.5703125" style="5" customWidth="1"/>
    <col min="8209" max="8209" width="11.42578125" style="5" customWidth="1"/>
    <col min="8210" max="8210" width="15.140625" style="5" customWidth="1"/>
    <col min="8211" max="8211" width="29.28515625" style="5" customWidth="1"/>
    <col min="8212" max="8214" width="15.5703125" style="5" customWidth="1"/>
    <col min="8215" max="8448" width="9.140625" style="5"/>
    <col min="8449" max="8449" width="18.85546875" style="5" customWidth="1"/>
    <col min="8450" max="8450" width="7.28515625" style="5" customWidth="1"/>
    <col min="8451" max="8451" width="27.85546875" style="5" customWidth="1"/>
    <col min="8452" max="8452" width="45.85546875" style="5" customWidth="1"/>
    <col min="8453" max="8453" width="10.7109375" style="5" customWidth="1"/>
    <col min="8454" max="8454" width="9" style="5" bestFit="1" customWidth="1"/>
    <col min="8455" max="8455" width="8" style="5" customWidth="1"/>
    <col min="8456" max="8456" width="7.7109375" style="5" customWidth="1"/>
    <col min="8457" max="8457" width="8.5703125" style="5" customWidth="1"/>
    <col min="8458" max="8459" width="7.7109375" style="5" customWidth="1"/>
    <col min="8460" max="8460" width="9.5703125" style="5" customWidth="1"/>
    <col min="8461" max="8461" width="10.140625" style="5" customWidth="1"/>
    <col min="8462" max="8462" width="9.140625" style="5"/>
    <col min="8463" max="8463" width="8.28515625" style="5" customWidth="1"/>
    <col min="8464" max="8464" width="11.5703125" style="5" customWidth="1"/>
    <col min="8465" max="8465" width="11.42578125" style="5" customWidth="1"/>
    <col min="8466" max="8466" width="15.140625" style="5" customWidth="1"/>
    <col min="8467" max="8467" width="29.28515625" style="5" customWidth="1"/>
    <col min="8468" max="8470" width="15.5703125" style="5" customWidth="1"/>
    <col min="8471" max="8704" width="9.140625" style="5"/>
    <col min="8705" max="8705" width="18.85546875" style="5" customWidth="1"/>
    <col min="8706" max="8706" width="7.28515625" style="5" customWidth="1"/>
    <col min="8707" max="8707" width="27.85546875" style="5" customWidth="1"/>
    <col min="8708" max="8708" width="45.85546875" style="5" customWidth="1"/>
    <col min="8709" max="8709" width="10.7109375" style="5" customWidth="1"/>
    <col min="8710" max="8710" width="9" style="5" bestFit="1" customWidth="1"/>
    <col min="8711" max="8711" width="8" style="5" customWidth="1"/>
    <col min="8712" max="8712" width="7.7109375" style="5" customWidth="1"/>
    <col min="8713" max="8713" width="8.5703125" style="5" customWidth="1"/>
    <col min="8714" max="8715" width="7.7109375" style="5" customWidth="1"/>
    <col min="8716" max="8716" width="9.5703125" style="5" customWidth="1"/>
    <col min="8717" max="8717" width="10.140625" style="5" customWidth="1"/>
    <col min="8718" max="8718" width="9.140625" style="5"/>
    <col min="8719" max="8719" width="8.28515625" style="5" customWidth="1"/>
    <col min="8720" max="8720" width="11.5703125" style="5" customWidth="1"/>
    <col min="8721" max="8721" width="11.42578125" style="5" customWidth="1"/>
    <col min="8722" max="8722" width="15.140625" style="5" customWidth="1"/>
    <col min="8723" max="8723" width="29.28515625" style="5" customWidth="1"/>
    <col min="8724" max="8726" width="15.5703125" style="5" customWidth="1"/>
    <col min="8727" max="8960" width="9.140625" style="5"/>
    <col min="8961" max="8961" width="18.85546875" style="5" customWidth="1"/>
    <col min="8962" max="8962" width="7.28515625" style="5" customWidth="1"/>
    <col min="8963" max="8963" width="27.85546875" style="5" customWidth="1"/>
    <col min="8964" max="8964" width="45.85546875" style="5" customWidth="1"/>
    <col min="8965" max="8965" width="10.7109375" style="5" customWidth="1"/>
    <col min="8966" max="8966" width="9" style="5" bestFit="1" customWidth="1"/>
    <col min="8967" max="8967" width="8" style="5" customWidth="1"/>
    <col min="8968" max="8968" width="7.7109375" style="5" customWidth="1"/>
    <col min="8969" max="8969" width="8.5703125" style="5" customWidth="1"/>
    <col min="8970" max="8971" width="7.7109375" style="5" customWidth="1"/>
    <col min="8972" max="8972" width="9.5703125" style="5" customWidth="1"/>
    <col min="8973" max="8973" width="10.140625" style="5" customWidth="1"/>
    <col min="8974" max="8974" width="9.140625" style="5"/>
    <col min="8975" max="8975" width="8.28515625" style="5" customWidth="1"/>
    <col min="8976" max="8976" width="11.5703125" style="5" customWidth="1"/>
    <col min="8977" max="8977" width="11.42578125" style="5" customWidth="1"/>
    <col min="8978" max="8978" width="15.140625" style="5" customWidth="1"/>
    <col min="8979" max="8979" width="29.28515625" style="5" customWidth="1"/>
    <col min="8980" max="8982" width="15.5703125" style="5" customWidth="1"/>
    <col min="8983" max="9216" width="9.140625" style="5"/>
    <col min="9217" max="9217" width="18.85546875" style="5" customWidth="1"/>
    <col min="9218" max="9218" width="7.28515625" style="5" customWidth="1"/>
    <col min="9219" max="9219" width="27.85546875" style="5" customWidth="1"/>
    <col min="9220" max="9220" width="45.85546875" style="5" customWidth="1"/>
    <col min="9221" max="9221" width="10.7109375" style="5" customWidth="1"/>
    <col min="9222" max="9222" width="9" style="5" bestFit="1" customWidth="1"/>
    <col min="9223" max="9223" width="8" style="5" customWidth="1"/>
    <col min="9224" max="9224" width="7.7109375" style="5" customWidth="1"/>
    <col min="9225" max="9225" width="8.5703125" style="5" customWidth="1"/>
    <col min="9226" max="9227" width="7.7109375" style="5" customWidth="1"/>
    <col min="9228" max="9228" width="9.5703125" style="5" customWidth="1"/>
    <col min="9229" max="9229" width="10.140625" style="5" customWidth="1"/>
    <col min="9230" max="9230" width="9.140625" style="5"/>
    <col min="9231" max="9231" width="8.28515625" style="5" customWidth="1"/>
    <col min="9232" max="9232" width="11.5703125" style="5" customWidth="1"/>
    <col min="9233" max="9233" width="11.42578125" style="5" customWidth="1"/>
    <col min="9234" max="9234" width="15.140625" style="5" customWidth="1"/>
    <col min="9235" max="9235" width="29.28515625" style="5" customWidth="1"/>
    <col min="9236" max="9238" width="15.5703125" style="5" customWidth="1"/>
    <col min="9239" max="9472" width="9.140625" style="5"/>
    <col min="9473" max="9473" width="18.85546875" style="5" customWidth="1"/>
    <col min="9474" max="9474" width="7.28515625" style="5" customWidth="1"/>
    <col min="9475" max="9475" width="27.85546875" style="5" customWidth="1"/>
    <col min="9476" max="9476" width="45.85546875" style="5" customWidth="1"/>
    <col min="9477" max="9477" width="10.7109375" style="5" customWidth="1"/>
    <col min="9478" max="9478" width="9" style="5" bestFit="1" customWidth="1"/>
    <col min="9479" max="9479" width="8" style="5" customWidth="1"/>
    <col min="9480" max="9480" width="7.7109375" style="5" customWidth="1"/>
    <col min="9481" max="9481" width="8.5703125" style="5" customWidth="1"/>
    <col min="9482" max="9483" width="7.7109375" style="5" customWidth="1"/>
    <col min="9484" max="9484" width="9.5703125" style="5" customWidth="1"/>
    <col min="9485" max="9485" width="10.140625" style="5" customWidth="1"/>
    <col min="9486" max="9486" width="9.140625" style="5"/>
    <col min="9487" max="9487" width="8.28515625" style="5" customWidth="1"/>
    <col min="9488" max="9488" width="11.5703125" style="5" customWidth="1"/>
    <col min="9489" max="9489" width="11.42578125" style="5" customWidth="1"/>
    <col min="9490" max="9490" width="15.140625" style="5" customWidth="1"/>
    <col min="9491" max="9491" width="29.28515625" style="5" customWidth="1"/>
    <col min="9492" max="9494" width="15.5703125" style="5" customWidth="1"/>
    <col min="9495" max="9728" width="9.140625" style="5"/>
    <col min="9729" max="9729" width="18.85546875" style="5" customWidth="1"/>
    <col min="9730" max="9730" width="7.28515625" style="5" customWidth="1"/>
    <col min="9731" max="9731" width="27.85546875" style="5" customWidth="1"/>
    <col min="9732" max="9732" width="45.85546875" style="5" customWidth="1"/>
    <col min="9733" max="9733" width="10.7109375" style="5" customWidth="1"/>
    <col min="9734" max="9734" width="9" style="5" bestFit="1" customWidth="1"/>
    <col min="9735" max="9735" width="8" style="5" customWidth="1"/>
    <col min="9736" max="9736" width="7.7109375" style="5" customWidth="1"/>
    <col min="9737" max="9737" width="8.5703125" style="5" customWidth="1"/>
    <col min="9738" max="9739" width="7.7109375" style="5" customWidth="1"/>
    <col min="9740" max="9740" width="9.5703125" style="5" customWidth="1"/>
    <col min="9741" max="9741" width="10.140625" style="5" customWidth="1"/>
    <col min="9742" max="9742" width="9.140625" style="5"/>
    <col min="9743" max="9743" width="8.28515625" style="5" customWidth="1"/>
    <col min="9744" max="9744" width="11.5703125" style="5" customWidth="1"/>
    <col min="9745" max="9745" width="11.42578125" style="5" customWidth="1"/>
    <col min="9746" max="9746" width="15.140625" style="5" customWidth="1"/>
    <col min="9747" max="9747" width="29.28515625" style="5" customWidth="1"/>
    <col min="9748" max="9750" width="15.5703125" style="5" customWidth="1"/>
    <col min="9751" max="9984" width="9.140625" style="5"/>
    <col min="9985" max="9985" width="18.85546875" style="5" customWidth="1"/>
    <col min="9986" max="9986" width="7.28515625" style="5" customWidth="1"/>
    <col min="9987" max="9987" width="27.85546875" style="5" customWidth="1"/>
    <col min="9988" max="9988" width="45.85546875" style="5" customWidth="1"/>
    <col min="9989" max="9989" width="10.7109375" style="5" customWidth="1"/>
    <col min="9990" max="9990" width="9" style="5" bestFit="1" customWidth="1"/>
    <col min="9991" max="9991" width="8" style="5" customWidth="1"/>
    <col min="9992" max="9992" width="7.7109375" style="5" customWidth="1"/>
    <col min="9993" max="9993" width="8.5703125" style="5" customWidth="1"/>
    <col min="9994" max="9995" width="7.7109375" style="5" customWidth="1"/>
    <col min="9996" max="9996" width="9.5703125" style="5" customWidth="1"/>
    <col min="9997" max="9997" width="10.140625" style="5" customWidth="1"/>
    <col min="9998" max="9998" width="9.140625" style="5"/>
    <col min="9999" max="9999" width="8.28515625" style="5" customWidth="1"/>
    <col min="10000" max="10000" width="11.5703125" style="5" customWidth="1"/>
    <col min="10001" max="10001" width="11.42578125" style="5" customWidth="1"/>
    <col min="10002" max="10002" width="15.140625" style="5" customWidth="1"/>
    <col min="10003" max="10003" width="29.28515625" style="5" customWidth="1"/>
    <col min="10004" max="10006" width="15.5703125" style="5" customWidth="1"/>
    <col min="10007" max="10240" width="9.140625" style="5"/>
    <col min="10241" max="10241" width="18.85546875" style="5" customWidth="1"/>
    <col min="10242" max="10242" width="7.28515625" style="5" customWidth="1"/>
    <col min="10243" max="10243" width="27.85546875" style="5" customWidth="1"/>
    <col min="10244" max="10244" width="45.85546875" style="5" customWidth="1"/>
    <col min="10245" max="10245" width="10.7109375" style="5" customWidth="1"/>
    <col min="10246" max="10246" width="9" style="5" bestFit="1" customWidth="1"/>
    <col min="10247" max="10247" width="8" style="5" customWidth="1"/>
    <col min="10248" max="10248" width="7.7109375" style="5" customWidth="1"/>
    <col min="10249" max="10249" width="8.5703125" style="5" customWidth="1"/>
    <col min="10250" max="10251" width="7.7109375" style="5" customWidth="1"/>
    <col min="10252" max="10252" width="9.5703125" style="5" customWidth="1"/>
    <col min="10253" max="10253" width="10.140625" style="5" customWidth="1"/>
    <col min="10254" max="10254" width="9.140625" style="5"/>
    <col min="10255" max="10255" width="8.28515625" style="5" customWidth="1"/>
    <col min="10256" max="10256" width="11.5703125" style="5" customWidth="1"/>
    <col min="10257" max="10257" width="11.42578125" style="5" customWidth="1"/>
    <col min="10258" max="10258" width="15.140625" style="5" customWidth="1"/>
    <col min="10259" max="10259" width="29.28515625" style="5" customWidth="1"/>
    <col min="10260" max="10262" width="15.5703125" style="5" customWidth="1"/>
    <col min="10263" max="10496" width="9.140625" style="5"/>
    <col min="10497" max="10497" width="18.85546875" style="5" customWidth="1"/>
    <col min="10498" max="10498" width="7.28515625" style="5" customWidth="1"/>
    <col min="10499" max="10499" width="27.85546875" style="5" customWidth="1"/>
    <col min="10500" max="10500" width="45.85546875" style="5" customWidth="1"/>
    <col min="10501" max="10501" width="10.7109375" style="5" customWidth="1"/>
    <col min="10502" max="10502" width="9" style="5" bestFit="1" customWidth="1"/>
    <col min="10503" max="10503" width="8" style="5" customWidth="1"/>
    <col min="10504" max="10504" width="7.7109375" style="5" customWidth="1"/>
    <col min="10505" max="10505" width="8.5703125" style="5" customWidth="1"/>
    <col min="10506" max="10507" width="7.7109375" style="5" customWidth="1"/>
    <col min="10508" max="10508" width="9.5703125" style="5" customWidth="1"/>
    <col min="10509" max="10509" width="10.140625" style="5" customWidth="1"/>
    <col min="10510" max="10510" width="9.140625" style="5"/>
    <col min="10511" max="10511" width="8.28515625" style="5" customWidth="1"/>
    <col min="10512" max="10512" width="11.5703125" style="5" customWidth="1"/>
    <col min="10513" max="10513" width="11.42578125" style="5" customWidth="1"/>
    <col min="10514" max="10514" width="15.140625" style="5" customWidth="1"/>
    <col min="10515" max="10515" width="29.28515625" style="5" customWidth="1"/>
    <col min="10516" max="10518" width="15.5703125" style="5" customWidth="1"/>
    <col min="10519" max="10752" width="9.140625" style="5"/>
    <col min="10753" max="10753" width="18.85546875" style="5" customWidth="1"/>
    <col min="10754" max="10754" width="7.28515625" style="5" customWidth="1"/>
    <col min="10755" max="10755" width="27.85546875" style="5" customWidth="1"/>
    <col min="10756" max="10756" width="45.85546875" style="5" customWidth="1"/>
    <col min="10757" max="10757" width="10.7109375" style="5" customWidth="1"/>
    <col min="10758" max="10758" width="9" style="5" bestFit="1" customWidth="1"/>
    <col min="10759" max="10759" width="8" style="5" customWidth="1"/>
    <col min="10760" max="10760" width="7.7109375" style="5" customWidth="1"/>
    <col min="10761" max="10761" width="8.5703125" style="5" customWidth="1"/>
    <col min="10762" max="10763" width="7.7109375" style="5" customWidth="1"/>
    <col min="10764" max="10764" width="9.5703125" style="5" customWidth="1"/>
    <col min="10765" max="10765" width="10.140625" style="5" customWidth="1"/>
    <col min="10766" max="10766" width="9.140625" style="5"/>
    <col min="10767" max="10767" width="8.28515625" style="5" customWidth="1"/>
    <col min="10768" max="10768" width="11.5703125" style="5" customWidth="1"/>
    <col min="10769" max="10769" width="11.42578125" style="5" customWidth="1"/>
    <col min="10770" max="10770" width="15.140625" style="5" customWidth="1"/>
    <col min="10771" max="10771" width="29.28515625" style="5" customWidth="1"/>
    <col min="10772" max="10774" width="15.5703125" style="5" customWidth="1"/>
    <col min="10775" max="11008" width="9.140625" style="5"/>
    <col min="11009" max="11009" width="18.85546875" style="5" customWidth="1"/>
    <col min="11010" max="11010" width="7.28515625" style="5" customWidth="1"/>
    <col min="11011" max="11011" width="27.85546875" style="5" customWidth="1"/>
    <col min="11012" max="11012" width="45.85546875" style="5" customWidth="1"/>
    <col min="11013" max="11013" width="10.7109375" style="5" customWidth="1"/>
    <col min="11014" max="11014" width="9" style="5" bestFit="1" customWidth="1"/>
    <col min="11015" max="11015" width="8" style="5" customWidth="1"/>
    <col min="11016" max="11016" width="7.7109375" style="5" customWidth="1"/>
    <col min="11017" max="11017" width="8.5703125" style="5" customWidth="1"/>
    <col min="11018" max="11019" width="7.7109375" style="5" customWidth="1"/>
    <col min="11020" max="11020" width="9.5703125" style="5" customWidth="1"/>
    <col min="11021" max="11021" width="10.140625" style="5" customWidth="1"/>
    <col min="11022" max="11022" width="9.140625" style="5"/>
    <col min="11023" max="11023" width="8.28515625" style="5" customWidth="1"/>
    <col min="11024" max="11024" width="11.5703125" style="5" customWidth="1"/>
    <col min="11025" max="11025" width="11.42578125" style="5" customWidth="1"/>
    <col min="11026" max="11026" width="15.140625" style="5" customWidth="1"/>
    <col min="11027" max="11027" width="29.28515625" style="5" customWidth="1"/>
    <col min="11028" max="11030" width="15.5703125" style="5" customWidth="1"/>
    <col min="11031" max="11264" width="9.140625" style="5"/>
    <col min="11265" max="11265" width="18.85546875" style="5" customWidth="1"/>
    <col min="11266" max="11266" width="7.28515625" style="5" customWidth="1"/>
    <col min="11267" max="11267" width="27.85546875" style="5" customWidth="1"/>
    <col min="11268" max="11268" width="45.85546875" style="5" customWidth="1"/>
    <col min="11269" max="11269" width="10.7109375" style="5" customWidth="1"/>
    <col min="11270" max="11270" width="9" style="5" bestFit="1" customWidth="1"/>
    <col min="11271" max="11271" width="8" style="5" customWidth="1"/>
    <col min="11272" max="11272" width="7.7109375" style="5" customWidth="1"/>
    <col min="11273" max="11273" width="8.5703125" style="5" customWidth="1"/>
    <col min="11274" max="11275" width="7.7109375" style="5" customWidth="1"/>
    <col min="11276" max="11276" width="9.5703125" style="5" customWidth="1"/>
    <col min="11277" max="11277" width="10.140625" style="5" customWidth="1"/>
    <col min="11278" max="11278" width="9.140625" style="5"/>
    <col min="11279" max="11279" width="8.28515625" style="5" customWidth="1"/>
    <col min="11280" max="11280" width="11.5703125" style="5" customWidth="1"/>
    <col min="11281" max="11281" width="11.42578125" style="5" customWidth="1"/>
    <col min="11282" max="11282" width="15.140625" style="5" customWidth="1"/>
    <col min="11283" max="11283" width="29.28515625" style="5" customWidth="1"/>
    <col min="11284" max="11286" width="15.5703125" style="5" customWidth="1"/>
    <col min="11287" max="11520" width="9.140625" style="5"/>
    <col min="11521" max="11521" width="18.85546875" style="5" customWidth="1"/>
    <col min="11522" max="11522" width="7.28515625" style="5" customWidth="1"/>
    <col min="11523" max="11523" width="27.85546875" style="5" customWidth="1"/>
    <col min="11524" max="11524" width="45.85546875" style="5" customWidth="1"/>
    <col min="11525" max="11525" width="10.7109375" style="5" customWidth="1"/>
    <col min="11526" max="11526" width="9" style="5" bestFit="1" customWidth="1"/>
    <col min="11527" max="11527" width="8" style="5" customWidth="1"/>
    <col min="11528" max="11528" width="7.7109375" style="5" customWidth="1"/>
    <col min="11529" max="11529" width="8.5703125" style="5" customWidth="1"/>
    <col min="11530" max="11531" width="7.7109375" style="5" customWidth="1"/>
    <col min="11532" max="11532" width="9.5703125" style="5" customWidth="1"/>
    <col min="11533" max="11533" width="10.140625" style="5" customWidth="1"/>
    <col min="11534" max="11534" width="9.140625" style="5"/>
    <col min="11535" max="11535" width="8.28515625" style="5" customWidth="1"/>
    <col min="11536" max="11536" width="11.5703125" style="5" customWidth="1"/>
    <col min="11537" max="11537" width="11.42578125" style="5" customWidth="1"/>
    <col min="11538" max="11538" width="15.140625" style="5" customWidth="1"/>
    <col min="11539" max="11539" width="29.28515625" style="5" customWidth="1"/>
    <col min="11540" max="11542" width="15.5703125" style="5" customWidth="1"/>
    <col min="11543" max="11776" width="9.140625" style="5"/>
    <col min="11777" max="11777" width="18.85546875" style="5" customWidth="1"/>
    <col min="11778" max="11778" width="7.28515625" style="5" customWidth="1"/>
    <col min="11779" max="11779" width="27.85546875" style="5" customWidth="1"/>
    <col min="11780" max="11780" width="45.85546875" style="5" customWidth="1"/>
    <col min="11781" max="11781" width="10.7109375" style="5" customWidth="1"/>
    <col min="11782" max="11782" width="9" style="5" bestFit="1" customWidth="1"/>
    <col min="11783" max="11783" width="8" style="5" customWidth="1"/>
    <col min="11784" max="11784" width="7.7109375" style="5" customWidth="1"/>
    <col min="11785" max="11785" width="8.5703125" style="5" customWidth="1"/>
    <col min="11786" max="11787" width="7.7109375" style="5" customWidth="1"/>
    <col min="11788" max="11788" width="9.5703125" style="5" customWidth="1"/>
    <col min="11789" max="11789" width="10.140625" style="5" customWidth="1"/>
    <col min="11790" max="11790" width="9.140625" style="5"/>
    <col min="11791" max="11791" width="8.28515625" style="5" customWidth="1"/>
    <col min="11792" max="11792" width="11.5703125" style="5" customWidth="1"/>
    <col min="11793" max="11793" width="11.42578125" style="5" customWidth="1"/>
    <col min="11794" max="11794" width="15.140625" style="5" customWidth="1"/>
    <col min="11795" max="11795" width="29.28515625" style="5" customWidth="1"/>
    <col min="11796" max="11798" width="15.5703125" style="5" customWidth="1"/>
    <col min="11799" max="12032" width="9.140625" style="5"/>
    <col min="12033" max="12033" width="18.85546875" style="5" customWidth="1"/>
    <col min="12034" max="12034" width="7.28515625" style="5" customWidth="1"/>
    <col min="12035" max="12035" width="27.85546875" style="5" customWidth="1"/>
    <col min="12036" max="12036" width="45.85546875" style="5" customWidth="1"/>
    <col min="12037" max="12037" width="10.7109375" style="5" customWidth="1"/>
    <col min="12038" max="12038" width="9" style="5" bestFit="1" customWidth="1"/>
    <col min="12039" max="12039" width="8" style="5" customWidth="1"/>
    <col min="12040" max="12040" width="7.7109375" style="5" customWidth="1"/>
    <col min="12041" max="12041" width="8.5703125" style="5" customWidth="1"/>
    <col min="12042" max="12043" width="7.7109375" style="5" customWidth="1"/>
    <col min="12044" max="12044" width="9.5703125" style="5" customWidth="1"/>
    <col min="12045" max="12045" width="10.140625" style="5" customWidth="1"/>
    <col min="12046" max="12046" width="9.140625" style="5"/>
    <col min="12047" max="12047" width="8.28515625" style="5" customWidth="1"/>
    <col min="12048" max="12048" width="11.5703125" style="5" customWidth="1"/>
    <col min="12049" max="12049" width="11.42578125" style="5" customWidth="1"/>
    <col min="12050" max="12050" width="15.140625" style="5" customWidth="1"/>
    <col min="12051" max="12051" width="29.28515625" style="5" customWidth="1"/>
    <col min="12052" max="12054" width="15.5703125" style="5" customWidth="1"/>
    <col min="12055" max="12288" width="9.140625" style="5"/>
    <col min="12289" max="12289" width="18.85546875" style="5" customWidth="1"/>
    <col min="12290" max="12290" width="7.28515625" style="5" customWidth="1"/>
    <col min="12291" max="12291" width="27.85546875" style="5" customWidth="1"/>
    <col min="12292" max="12292" width="45.85546875" style="5" customWidth="1"/>
    <col min="12293" max="12293" width="10.7109375" style="5" customWidth="1"/>
    <col min="12294" max="12294" width="9" style="5" bestFit="1" customWidth="1"/>
    <col min="12295" max="12295" width="8" style="5" customWidth="1"/>
    <col min="12296" max="12296" width="7.7109375" style="5" customWidth="1"/>
    <col min="12297" max="12297" width="8.5703125" style="5" customWidth="1"/>
    <col min="12298" max="12299" width="7.7109375" style="5" customWidth="1"/>
    <col min="12300" max="12300" width="9.5703125" style="5" customWidth="1"/>
    <col min="12301" max="12301" width="10.140625" style="5" customWidth="1"/>
    <col min="12302" max="12302" width="9.140625" style="5"/>
    <col min="12303" max="12303" width="8.28515625" style="5" customWidth="1"/>
    <col min="12304" max="12304" width="11.5703125" style="5" customWidth="1"/>
    <col min="12305" max="12305" width="11.42578125" style="5" customWidth="1"/>
    <col min="12306" max="12306" width="15.140625" style="5" customWidth="1"/>
    <col min="12307" max="12307" width="29.28515625" style="5" customWidth="1"/>
    <col min="12308" max="12310" width="15.5703125" style="5" customWidth="1"/>
    <col min="12311" max="12544" width="9.140625" style="5"/>
    <col min="12545" max="12545" width="18.85546875" style="5" customWidth="1"/>
    <col min="12546" max="12546" width="7.28515625" style="5" customWidth="1"/>
    <col min="12547" max="12547" width="27.85546875" style="5" customWidth="1"/>
    <col min="12548" max="12548" width="45.85546875" style="5" customWidth="1"/>
    <col min="12549" max="12549" width="10.7109375" style="5" customWidth="1"/>
    <col min="12550" max="12550" width="9" style="5" bestFit="1" customWidth="1"/>
    <col min="12551" max="12551" width="8" style="5" customWidth="1"/>
    <col min="12552" max="12552" width="7.7109375" style="5" customWidth="1"/>
    <col min="12553" max="12553" width="8.5703125" style="5" customWidth="1"/>
    <col min="12554" max="12555" width="7.7109375" style="5" customWidth="1"/>
    <col min="12556" max="12556" width="9.5703125" style="5" customWidth="1"/>
    <col min="12557" max="12557" width="10.140625" style="5" customWidth="1"/>
    <col min="12558" max="12558" width="9.140625" style="5"/>
    <col min="12559" max="12559" width="8.28515625" style="5" customWidth="1"/>
    <col min="12560" max="12560" width="11.5703125" style="5" customWidth="1"/>
    <col min="12561" max="12561" width="11.42578125" style="5" customWidth="1"/>
    <col min="12562" max="12562" width="15.140625" style="5" customWidth="1"/>
    <col min="12563" max="12563" width="29.28515625" style="5" customWidth="1"/>
    <col min="12564" max="12566" width="15.5703125" style="5" customWidth="1"/>
    <col min="12567" max="12800" width="9.140625" style="5"/>
    <col min="12801" max="12801" width="18.85546875" style="5" customWidth="1"/>
    <col min="12802" max="12802" width="7.28515625" style="5" customWidth="1"/>
    <col min="12803" max="12803" width="27.85546875" style="5" customWidth="1"/>
    <col min="12804" max="12804" width="45.85546875" style="5" customWidth="1"/>
    <col min="12805" max="12805" width="10.7109375" style="5" customWidth="1"/>
    <col min="12806" max="12806" width="9" style="5" bestFit="1" customWidth="1"/>
    <col min="12807" max="12807" width="8" style="5" customWidth="1"/>
    <col min="12808" max="12808" width="7.7109375" style="5" customWidth="1"/>
    <col min="12809" max="12809" width="8.5703125" style="5" customWidth="1"/>
    <col min="12810" max="12811" width="7.7109375" style="5" customWidth="1"/>
    <col min="12812" max="12812" width="9.5703125" style="5" customWidth="1"/>
    <col min="12813" max="12813" width="10.140625" style="5" customWidth="1"/>
    <col min="12814" max="12814" width="9.140625" style="5"/>
    <col min="12815" max="12815" width="8.28515625" style="5" customWidth="1"/>
    <col min="12816" max="12816" width="11.5703125" style="5" customWidth="1"/>
    <col min="12817" max="12817" width="11.42578125" style="5" customWidth="1"/>
    <col min="12818" max="12818" width="15.140625" style="5" customWidth="1"/>
    <col min="12819" max="12819" width="29.28515625" style="5" customWidth="1"/>
    <col min="12820" max="12822" width="15.5703125" style="5" customWidth="1"/>
    <col min="12823" max="13056" width="9.140625" style="5"/>
    <col min="13057" max="13057" width="18.85546875" style="5" customWidth="1"/>
    <col min="13058" max="13058" width="7.28515625" style="5" customWidth="1"/>
    <col min="13059" max="13059" width="27.85546875" style="5" customWidth="1"/>
    <col min="13060" max="13060" width="45.85546875" style="5" customWidth="1"/>
    <col min="13061" max="13061" width="10.7109375" style="5" customWidth="1"/>
    <col min="13062" max="13062" width="9" style="5" bestFit="1" customWidth="1"/>
    <col min="13063" max="13063" width="8" style="5" customWidth="1"/>
    <col min="13064" max="13064" width="7.7109375" style="5" customWidth="1"/>
    <col min="13065" max="13065" width="8.5703125" style="5" customWidth="1"/>
    <col min="13066" max="13067" width="7.7109375" style="5" customWidth="1"/>
    <col min="13068" max="13068" width="9.5703125" style="5" customWidth="1"/>
    <col min="13069" max="13069" width="10.140625" style="5" customWidth="1"/>
    <col min="13070" max="13070" width="9.140625" style="5"/>
    <col min="13071" max="13071" width="8.28515625" style="5" customWidth="1"/>
    <col min="13072" max="13072" width="11.5703125" style="5" customWidth="1"/>
    <col min="13073" max="13073" width="11.42578125" style="5" customWidth="1"/>
    <col min="13074" max="13074" width="15.140625" style="5" customWidth="1"/>
    <col min="13075" max="13075" width="29.28515625" style="5" customWidth="1"/>
    <col min="13076" max="13078" width="15.5703125" style="5" customWidth="1"/>
    <col min="13079" max="13312" width="9.140625" style="5"/>
    <col min="13313" max="13313" width="18.85546875" style="5" customWidth="1"/>
    <col min="13314" max="13314" width="7.28515625" style="5" customWidth="1"/>
    <col min="13315" max="13315" width="27.85546875" style="5" customWidth="1"/>
    <col min="13316" max="13316" width="45.85546875" style="5" customWidth="1"/>
    <col min="13317" max="13317" width="10.7109375" style="5" customWidth="1"/>
    <col min="13318" max="13318" width="9" style="5" bestFit="1" customWidth="1"/>
    <col min="13319" max="13319" width="8" style="5" customWidth="1"/>
    <col min="13320" max="13320" width="7.7109375" style="5" customWidth="1"/>
    <col min="13321" max="13321" width="8.5703125" style="5" customWidth="1"/>
    <col min="13322" max="13323" width="7.7109375" style="5" customWidth="1"/>
    <col min="13324" max="13324" width="9.5703125" style="5" customWidth="1"/>
    <col min="13325" max="13325" width="10.140625" style="5" customWidth="1"/>
    <col min="13326" max="13326" width="9.140625" style="5"/>
    <col min="13327" max="13327" width="8.28515625" style="5" customWidth="1"/>
    <col min="13328" max="13328" width="11.5703125" style="5" customWidth="1"/>
    <col min="13329" max="13329" width="11.42578125" style="5" customWidth="1"/>
    <col min="13330" max="13330" width="15.140625" style="5" customWidth="1"/>
    <col min="13331" max="13331" width="29.28515625" style="5" customWidth="1"/>
    <col min="13332" max="13334" width="15.5703125" style="5" customWidth="1"/>
    <col min="13335" max="13568" width="9.140625" style="5"/>
    <col min="13569" max="13569" width="18.85546875" style="5" customWidth="1"/>
    <col min="13570" max="13570" width="7.28515625" style="5" customWidth="1"/>
    <col min="13571" max="13571" width="27.85546875" style="5" customWidth="1"/>
    <col min="13572" max="13572" width="45.85546875" style="5" customWidth="1"/>
    <col min="13573" max="13573" width="10.7109375" style="5" customWidth="1"/>
    <col min="13574" max="13574" width="9" style="5" bestFit="1" customWidth="1"/>
    <col min="13575" max="13575" width="8" style="5" customWidth="1"/>
    <col min="13576" max="13576" width="7.7109375" style="5" customWidth="1"/>
    <col min="13577" max="13577" width="8.5703125" style="5" customWidth="1"/>
    <col min="13578" max="13579" width="7.7109375" style="5" customWidth="1"/>
    <col min="13580" max="13580" width="9.5703125" style="5" customWidth="1"/>
    <col min="13581" max="13581" width="10.140625" style="5" customWidth="1"/>
    <col min="13582" max="13582" width="9.140625" style="5"/>
    <col min="13583" max="13583" width="8.28515625" style="5" customWidth="1"/>
    <col min="13584" max="13584" width="11.5703125" style="5" customWidth="1"/>
    <col min="13585" max="13585" width="11.42578125" style="5" customWidth="1"/>
    <col min="13586" max="13586" width="15.140625" style="5" customWidth="1"/>
    <col min="13587" max="13587" width="29.28515625" style="5" customWidth="1"/>
    <col min="13588" max="13590" width="15.5703125" style="5" customWidth="1"/>
    <col min="13591" max="13824" width="9.140625" style="5"/>
    <col min="13825" max="13825" width="18.85546875" style="5" customWidth="1"/>
    <col min="13826" max="13826" width="7.28515625" style="5" customWidth="1"/>
    <col min="13827" max="13827" width="27.85546875" style="5" customWidth="1"/>
    <col min="13828" max="13828" width="45.85546875" style="5" customWidth="1"/>
    <col min="13829" max="13829" width="10.7109375" style="5" customWidth="1"/>
    <col min="13830" max="13830" width="9" style="5" bestFit="1" customWidth="1"/>
    <col min="13831" max="13831" width="8" style="5" customWidth="1"/>
    <col min="13832" max="13832" width="7.7109375" style="5" customWidth="1"/>
    <col min="13833" max="13833" width="8.5703125" style="5" customWidth="1"/>
    <col min="13834" max="13835" width="7.7109375" style="5" customWidth="1"/>
    <col min="13836" max="13836" width="9.5703125" style="5" customWidth="1"/>
    <col min="13837" max="13837" width="10.140625" style="5" customWidth="1"/>
    <col min="13838" max="13838" width="9.140625" style="5"/>
    <col min="13839" max="13839" width="8.28515625" style="5" customWidth="1"/>
    <col min="13840" max="13840" width="11.5703125" style="5" customWidth="1"/>
    <col min="13841" max="13841" width="11.42578125" style="5" customWidth="1"/>
    <col min="13842" max="13842" width="15.140625" style="5" customWidth="1"/>
    <col min="13843" max="13843" width="29.28515625" style="5" customWidth="1"/>
    <col min="13844" max="13846" width="15.5703125" style="5" customWidth="1"/>
    <col min="13847" max="14080" width="9.140625" style="5"/>
    <col min="14081" max="14081" width="18.85546875" style="5" customWidth="1"/>
    <col min="14082" max="14082" width="7.28515625" style="5" customWidth="1"/>
    <col min="14083" max="14083" width="27.85546875" style="5" customWidth="1"/>
    <col min="14084" max="14084" width="45.85546875" style="5" customWidth="1"/>
    <col min="14085" max="14085" width="10.7109375" style="5" customWidth="1"/>
    <col min="14086" max="14086" width="9" style="5" bestFit="1" customWidth="1"/>
    <col min="14087" max="14087" width="8" style="5" customWidth="1"/>
    <col min="14088" max="14088" width="7.7109375" style="5" customWidth="1"/>
    <col min="14089" max="14089" width="8.5703125" style="5" customWidth="1"/>
    <col min="14090" max="14091" width="7.7109375" style="5" customWidth="1"/>
    <col min="14092" max="14092" width="9.5703125" style="5" customWidth="1"/>
    <col min="14093" max="14093" width="10.140625" style="5" customWidth="1"/>
    <col min="14094" max="14094" width="9.140625" style="5"/>
    <col min="14095" max="14095" width="8.28515625" style="5" customWidth="1"/>
    <col min="14096" max="14096" width="11.5703125" style="5" customWidth="1"/>
    <col min="14097" max="14097" width="11.42578125" style="5" customWidth="1"/>
    <col min="14098" max="14098" width="15.140625" style="5" customWidth="1"/>
    <col min="14099" max="14099" width="29.28515625" style="5" customWidth="1"/>
    <col min="14100" max="14102" width="15.5703125" style="5" customWidth="1"/>
    <col min="14103" max="14336" width="9.140625" style="5"/>
    <col min="14337" max="14337" width="18.85546875" style="5" customWidth="1"/>
    <col min="14338" max="14338" width="7.28515625" style="5" customWidth="1"/>
    <col min="14339" max="14339" width="27.85546875" style="5" customWidth="1"/>
    <col min="14340" max="14340" width="45.85546875" style="5" customWidth="1"/>
    <col min="14341" max="14341" width="10.7109375" style="5" customWidth="1"/>
    <col min="14342" max="14342" width="9" style="5" bestFit="1" customWidth="1"/>
    <col min="14343" max="14343" width="8" style="5" customWidth="1"/>
    <col min="14344" max="14344" width="7.7109375" style="5" customWidth="1"/>
    <col min="14345" max="14345" width="8.5703125" style="5" customWidth="1"/>
    <col min="14346" max="14347" width="7.7109375" style="5" customWidth="1"/>
    <col min="14348" max="14348" width="9.5703125" style="5" customWidth="1"/>
    <col min="14349" max="14349" width="10.140625" style="5" customWidth="1"/>
    <col min="14350" max="14350" width="9.140625" style="5"/>
    <col min="14351" max="14351" width="8.28515625" style="5" customWidth="1"/>
    <col min="14352" max="14352" width="11.5703125" style="5" customWidth="1"/>
    <col min="14353" max="14353" width="11.42578125" style="5" customWidth="1"/>
    <col min="14354" max="14354" width="15.140625" style="5" customWidth="1"/>
    <col min="14355" max="14355" width="29.28515625" style="5" customWidth="1"/>
    <col min="14356" max="14358" width="15.5703125" style="5" customWidth="1"/>
    <col min="14359" max="14592" width="9.140625" style="5"/>
    <col min="14593" max="14593" width="18.85546875" style="5" customWidth="1"/>
    <col min="14594" max="14594" width="7.28515625" style="5" customWidth="1"/>
    <col min="14595" max="14595" width="27.85546875" style="5" customWidth="1"/>
    <col min="14596" max="14596" width="45.85546875" style="5" customWidth="1"/>
    <col min="14597" max="14597" width="10.7109375" style="5" customWidth="1"/>
    <col min="14598" max="14598" width="9" style="5" bestFit="1" customWidth="1"/>
    <col min="14599" max="14599" width="8" style="5" customWidth="1"/>
    <col min="14600" max="14600" width="7.7109375" style="5" customWidth="1"/>
    <col min="14601" max="14601" width="8.5703125" style="5" customWidth="1"/>
    <col min="14602" max="14603" width="7.7109375" style="5" customWidth="1"/>
    <col min="14604" max="14604" width="9.5703125" style="5" customWidth="1"/>
    <col min="14605" max="14605" width="10.140625" style="5" customWidth="1"/>
    <col min="14606" max="14606" width="9.140625" style="5"/>
    <col min="14607" max="14607" width="8.28515625" style="5" customWidth="1"/>
    <col min="14608" max="14608" width="11.5703125" style="5" customWidth="1"/>
    <col min="14609" max="14609" width="11.42578125" style="5" customWidth="1"/>
    <col min="14610" max="14610" width="15.140625" style="5" customWidth="1"/>
    <col min="14611" max="14611" width="29.28515625" style="5" customWidth="1"/>
    <col min="14612" max="14614" width="15.5703125" style="5" customWidth="1"/>
    <col min="14615" max="14848" width="9.140625" style="5"/>
    <col min="14849" max="14849" width="18.85546875" style="5" customWidth="1"/>
    <col min="14850" max="14850" width="7.28515625" style="5" customWidth="1"/>
    <col min="14851" max="14851" width="27.85546875" style="5" customWidth="1"/>
    <col min="14852" max="14852" width="45.85546875" style="5" customWidth="1"/>
    <col min="14853" max="14853" width="10.7109375" style="5" customWidth="1"/>
    <col min="14854" max="14854" width="9" style="5" bestFit="1" customWidth="1"/>
    <col min="14855" max="14855" width="8" style="5" customWidth="1"/>
    <col min="14856" max="14856" width="7.7109375" style="5" customWidth="1"/>
    <col min="14857" max="14857" width="8.5703125" style="5" customWidth="1"/>
    <col min="14858" max="14859" width="7.7109375" style="5" customWidth="1"/>
    <col min="14860" max="14860" width="9.5703125" style="5" customWidth="1"/>
    <col min="14861" max="14861" width="10.140625" style="5" customWidth="1"/>
    <col min="14862" max="14862" width="9.140625" style="5"/>
    <col min="14863" max="14863" width="8.28515625" style="5" customWidth="1"/>
    <col min="14864" max="14864" width="11.5703125" style="5" customWidth="1"/>
    <col min="14865" max="14865" width="11.42578125" style="5" customWidth="1"/>
    <col min="14866" max="14866" width="15.140625" style="5" customWidth="1"/>
    <col min="14867" max="14867" width="29.28515625" style="5" customWidth="1"/>
    <col min="14868" max="14870" width="15.5703125" style="5" customWidth="1"/>
    <col min="14871" max="15104" width="9.140625" style="5"/>
    <col min="15105" max="15105" width="18.85546875" style="5" customWidth="1"/>
    <col min="15106" max="15106" width="7.28515625" style="5" customWidth="1"/>
    <col min="15107" max="15107" width="27.85546875" style="5" customWidth="1"/>
    <col min="15108" max="15108" width="45.85546875" style="5" customWidth="1"/>
    <col min="15109" max="15109" width="10.7109375" style="5" customWidth="1"/>
    <col min="15110" max="15110" width="9" style="5" bestFit="1" customWidth="1"/>
    <col min="15111" max="15111" width="8" style="5" customWidth="1"/>
    <col min="15112" max="15112" width="7.7109375" style="5" customWidth="1"/>
    <col min="15113" max="15113" width="8.5703125" style="5" customWidth="1"/>
    <col min="15114" max="15115" width="7.7109375" style="5" customWidth="1"/>
    <col min="15116" max="15116" width="9.5703125" style="5" customWidth="1"/>
    <col min="15117" max="15117" width="10.140625" style="5" customWidth="1"/>
    <col min="15118" max="15118" width="9.140625" style="5"/>
    <col min="15119" max="15119" width="8.28515625" style="5" customWidth="1"/>
    <col min="15120" max="15120" width="11.5703125" style="5" customWidth="1"/>
    <col min="15121" max="15121" width="11.42578125" style="5" customWidth="1"/>
    <col min="15122" max="15122" width="15.140625" style="5" customWidth="1"/>
    <col min="15123" max="15123" width="29.28515625" style="5" customWidth="1"/>
    <col min="15124" max="15126" width="15.5703125" style="5" customWidth="1"/>
    <col min="15127" max="15360" width="9.140625" style="5"/>
    <col min="15361" max="15361" width="18.85546875" style="5" customWidth="1"/>
    <col min="15362" max="15362" width="7.28515625" style="5" customWidth="1"/>
    <col min="15363" max="15363" width="27.85546875" style="5" customWidth="1"/>
    <col min="15364" max="15364" width="45.85546875" style="5" customWidth="1"/>
    <col min="15365" max="15365" width="10.7109375" style="5" customWidth="1"/>
    <col min="15366" max="15366" width="9" style="5" bestFit="1" customWidth="1"/>
    <col min="15367" max="15367" width="8" style="5" customWidth="1"/>
    <col min="15368" max="15368" width="7.7109375" style="5" customWidth="1"/>
    <col min="15369" max="15369" width="8.5703125" style="5" customWidth="1"/>
    <col min="15370" max="15371" width="7.7109375" style="5" customWidth="1"/>
    <col min="15372" max="15372" width="9.5703125" style="5" customWidth="1"/>
    <col min="15373" max="15373" width="10.140625" style="5" customWidth="1"/>
    <col min="15374" max="15374" width="9.140625" style="5"/>
    <col min="15375" max="15375" width="8.28515625" style="5" customWidth="1"/>
    <col min="15376" max="15376" width="11.5703125" style="5" customWidth="1"/>
    <col min="15377" max="15377" width="11.42578125" style="5" customWidth="1"/>
    <col min="15378" max="15378" width="15.140625" style="5" customWidth="1"/>
    <col min="15379" max="15379" width="29.28515625" style="5" customWidth="1"/>
    <col min="15380" max="15382" width="15.5703125" style="5" customWidth="1"/>
    <col min="15383" max="15616" width="9.140625" style="5"/>
    <col min="15617" max="15617" width="18.85546875" style="5" customWidth="1"/>
    <col min="15618" max="15618" width="7.28515625" style="5" customWidth="1"/>
    <col min="15619" max="15619" width="27.85546875" style="5" customWidth="1"/>
    <col min="15620" max="15620" width="45.85546875" style="5" customWidth="1"/>
    <col min="15621" max="15621" width="10.7109375" style="5" customWidth="1"/>
    <col min="15622" max="15622" width="9" style="5" bestFit="1" customWidth="1"/>
    <col min="15623" max="15623" width="8" style="5" customWidth="1"/>
    <col min="15624" max="15624" width="7.7109375" style="5" customWidth="1"/>
    <col min="15625" max="15625" width="8.5703125" style="5" customWidth="1"/>
    <col min="15626" max="15627" width="7.7109375" style="5" customWidth="1"/>
    <col min="15628" max="15628" width="9.5703125" style="5" customWidth="1"/>
    <col min="15629" max="15629" width="10.140625" style="5" customWidth="1"/>
    <col min="15630" max="15630" width="9.140625" style="5"/>
    <col min="15631" max="15631" width="8.28515625" style="5" customWidth="1"/>
    <col min="15632" max="15632" width="11.5703125" style="5" customWidth="1"/>
    <col min="15633" max="15633" width="11.42578125" style="5" customWidth="1"/>
    <col min="15634" max="15634" width="15.140625" style="5" customWidth="1"/>
    <col min="15635" max="15635" width="29.28515625" style="5" customWidth="1"/>
    <col min="15636" max="15638" width="15.5703125" style="5" customWidth="1"/>
    <col min="15639" max="15872" width="9.140625" style="5"/>
    <col min="15873" max="15873" width="18.85546875" style="5" customWidth="1"/>
    <col min="15874" max="15874" width="7.28515625" style="5" customWidth="1"/>
    <col min="15875" max="15875" width="27.85546875" style="5" customWidth="1"/>
    <col min="15876" max="15876" width="45.85546875" style="5" customWidth="1"/>
    <col min="15877" max="15877" width="10.7109375" style="5" customWidth="1"/>
    <col min="15878" max="15878" width="9" style="5" bestFit="1" customWidth="1"/>
    <col min="15879" max="15879" width="8" style="5" customWidth="1"/>
    <col min="15880" max="15880" width="7.7109375" style="5" customWidth="1"/>
    <col min="15881" max="15881" width="8.5703125" style="5" customWidth="1"/>
    <col min="15882" max="15883" width="7.7109375" style="5" customWidth="1"/>
    <col min="15884" max="15884" width="9.5703125" style="5" customWidth="1"/>
    <col min="15885" max="15885" width="10.140625" style="5" customWidth="1"/>
    <col min="15886" max="15886" width="9.140625" style="5"/>
    <col min="15887" max="15887" width="8.28515625" style="5" customWidth="1"/>
    <col min="15888" max="15888" width="11.5703125" style="5" customWidth="1"/>
    <col min="15889" max="15889" width="11.42578125" style="5" customWidth="1"/>
    <col min="15890" max="15890" width="15.140625" style="5" customWidth="1"/>
    <col min="15891" max="15891" width="29.28515625" style="5" customWidth="1"/>
    <col min="15892" max="15894" width="15.5703125" style="5" customWidth="1"/>
    <col min="15895" max="16128" width="9.140625" style="5"/>
    <col min="16129" max="16129" width="18.85546875" style="5" customWidth="1"/>
    <col min="16130" max="16130" width="7.28515625" style="5" customWidth="1"/>
    <col min="16131" max="16131" width="27.85546875" style="5" customWidth="1"/>
    <col min="16132" max="16132" width="45.85546875" style="5" customWidth="1"/>
    <col min="16133" max="16133" width="10.7109375" style="5" customWidth="1"/>
    <col min="16134" max="16134" width="9" style="5" bestFit="1" customWidth="1"/>
    <col min="16135" max="16135" width="8" style="5" customWidth="1"/>
    <col min="16136" max="16136" width="7.7109375" style="5" customWidth="1"/>
    <col min="16137" max="16137" width="8.5703125" style="5" customWidth="1"/>
    <col min="16138" max="16139" width="7.7109375" style="5" customWidth="1"/>
    <col min="16140" max="16140" width="9.5703125" style="5" customWidth="1"/>
    <col min="16141" max="16141" width="10.140625" style="5" customWidth="1"/>
    <col min="16142" max="16142" width="9.140625" style="5"/>
    <col min="16143" max="16143" width="8.28515625" style="5" customWidth="1"/>
    <col min="16144" max="16144" width="11.5703125" style="5" customWidth="1"/>
    <col min="16145" max="16145" width="11.42578125" style="5" customWidth="1"/>
    <col min="16146" max="16146" width="15.140625" style="5" customWidth="1"/>
    <col min="16147" max="16147" width="29.28515625" style="5" customWidth="1"/>
    <col min="16148" max="16150" width="15.5703125" style="5" customWidth="1"/>
    <col min="16151" max="16384" width="9.140625" style="5"/>
  </cols>
  <sheetData>
    <row r="1" spans="1:22">
      <c r="A1" s="1" t="s">
        <v>0</v>
      </c>
      <c r="B1" s="2">
        <v>46220</v>
      </c>
      <c r="C1" s="3"/>
      <c r="D1" s="4"/>
      <c r="E1" s="1"/>
      <c r="F1" s="2"/>
      <c r="G1" s="3"/>
      <c r="I1" s="6"/>
      <c r="J1" s="6"/>
      <c r="K1" s="6"/>
      <c r="L1" s="6"/>
      <c r="M1" s="7"/>
      <c r="N1" s="7"/>
      <c r="O1" s="7"/>
      <c r="P1" s="6"/>
      <c r="Q1" s="7"/>
      <c r="R1" s="8"/>
      <c r="S1" s="9"/>
      <c r="T1" s="9"/>
      <c r="U1" s="10"/>
    </row>
    <row r="2" spans="1:22">
      <c r="A2" s="1" t="s">
        <v>1</v>
      </c>
      <c r="B2" s="2">
        <v>46226</v>
      </c>
      <c r="C2" s="3"/>
      <c r="D2" s="12"/>
      <c r="E2" s="1"/>
      <c r="F2" s="13"/>
      <c r="G2" s="14"/>
      <c r="I2" s="6"/>
      <c r="J2" s="6"/>
      <c r="K2" s="6"/>
      <c r="L2" s="6"/>
      <c r="M2" s="7"/>
      <c r="N2" s="7"/>
      <c r="O2" s="7"/>
      <c r="P2" s="6"/>
      <c r="Q2" s="7"/>
      <c r="R2" s="8"/>
      <c r="S2" s="9"/>
      <c r="T2" s="9"/>
      <c r="U2" s="10"/>
    </row>
    <row r="3" spans="1:22">
      <c r="A3" s="1" t="s">
        <v>2</v>
      </c>
      <c r="B3" s="2" t="s">
        <v>3</v>
      </c>
      <c r="C3" s="3"/>
      <c r="D3" s="12"/>
      <c r="E3" s="1"/>
      <c r="F3" s="13"/>
      <c r="G3" s="14"/>
      <c r="I3" s="6"/>
      <c r="J3" s="6"/>
      <c r="K3" s="6"/>
      <c r="L3" s="6"/>
      <c r="M3" s="7"/>
      <c r="N3" s="7"/>
      <c r="O3" s="7"/>
      <c r="P3" s="6"/>
      <c r="Q3" s="7"/>
      <c r="R3" s="8"/>
      <c r="S3" s="9"/>
      <c r="T3" s="9"/>
      <c r="U3" s="10"/>
    </row>
    <row r="4" spans="1:22">
      <c r="A4" s="1" t="s">
        <v>4</v>
      </c>
      <c r="B4" s="15" t="s">
        <v>5</v>
      </c>
      <c r="C4" s="16"/>
      <c r="D4" s="12"/>
      <c r="E4" s="1"/>
      <c r="F4" s="15"/>
      <c r="G4" s="16"/>
      <c r="I4" s="6"/>
      <c r="J4" s="6"/>
      <c r="K4" s="6"/>
      <c r="L4" s="6"/>
      <c r="M4" s="7"/>
      <c r="N4" s="7"/>
      <c r="O4" s="7"/>
      <c r="P4" s="6"/>
      <c r="Q4" s="7"/>
      <c r="R4" s="8"/>
      <c r="S4" s="9"/>
      <c r="T4" s="9"/>
      <c r="U4" s="10"/>
    </row>
    <row r="5" spans="1:22">
      <c r="A5" s="1" t="s">
        <v>6</v>
      </c>
      <c r="B5" s="17" t="s">
        <v>7</v>
      </c>
      <c r="C5" s="1"/>
      <c r="D5" s="12"/>
      <c r="E5" s="1"/>
      <c r="F5" s="17"/>
      <c r="G5" s="1"/>
      <c r="I5" s="6"/>
      <c r="J5" s="6"/>
      <c r="K5" s="6"/>
      <c r="L5" s="6"/>
      <c r="M5" s="7"/>
      <c r="N5" s="7"/>
      <c r="O5" s="7"/>
      <c r="P5" s="6"/>
      <c r="Q5" s="7"/>
      <c r="R5" s="8"/>
      <c r="S5" s="9"/>
      <c r="T5" s="9"/>
      <c r="U5" s="10"/>
    </row>
    <row r="6" spans="1:22">
      <c r="A6" s="18" t="s">
        <v>8</v>
      </c>
      <c r="B6" s="19" t="s">
        <v>9</v>
      </c>
      <c r="C6" s="19"/>
      <c r="D6" s="20"/>
      <c r="E6" s="18"/>
      <c r="F6" s="19"/>
      <c r="G6" s="19"/>
      <c r="H6" s="21"/>
      <c r="I6" s="21"/>
      <c r="J6" s="21"/>
      <c r="K6" s="22"/>
      <c r="L6" s="22"/>
      <c r="M6" s="23"/>
      <c r="N6" s="23"/>
      <c r="O6" s="23"/>
      <c r="P6" s="22"/>
      <c r="Q6" s="23"/>
      <c r="R6" s="24"/>
      <c r="S6" s="25"/>
      <c r="T6" s="25"/>
      <c r="U6" s="26"/>
    </row>
    <row r="7" spans="1:22">
      <c r="A7" s="1" t="s">
        <v>10</v>
      </c>
      <c r="B7" s="1" t="s">
        <v>11</v>
      </c>
      <c r="C7" s="5"/>
      <c r="D7" s="12"/>
      <c r="E7" s="1"/>
      <c r="F7" s="1"/>
      <c r="I7" s="6"/>
      <c r="J7" s="6"/>
      <c r="K7" s="6"/>
      <c r="L7" s="6"/>
      <c r="M7" s="7"/>
      <c r="N7" s="7"/>
      <c r="O7" s="7"/>
      <c r="P7" s="6"/>
      <c r="Q7" s="7"/>
      <c r="R7" s="8"/>
      <c r="S7" s="9"/>
      <c r="T7" s="9"/>
      <c r="U7" s="10"/>
    </row>
    <row r="8" spans="1:22">
      <c r="A8" s="1" t="s">
        <v>12</v>
      </c>
      <c r="B8" s="1" t="s">
        <v>13</v>
      </c>
      <c r="C8" s="5"/>
      <c r="D8" s="12"/>
      <c r="E8" s="1"/>
      <c r="F8" s="1"/>
      <c r="I8" s="6"/>
      <c r="J8" s="6"/>
      <c r="K8" s="6"/>
      <c r="L8" s="6"/>
      <c r="M8" s="7"/>
      <c r="N8" s="7"/>
      <c r="O8" s="7"/>
      <c r="P8" s="6"/>
      <c r="Q8" s="7"/>
      <c r="R8" s="8"/>
      <c r="S8" s="9"/>
      <c r="T8" s="9"/>
      <c r="U8" s="10"/>
    </row>
    <row r="9" spans="1:22">
      <c r="A9" s="1" t="s">
        <v>14</v>
      </c>
      <c r="B9" s="1" t="s">
        <v>15</v>
      </c>
      <c r="C9" s="5"/>
      <c r="D9" s="12"/>
      <c r="E9" s="1"/>
      <c r="F9" s="1"/>
      <c r="I9" s="6"/>
      <c r="J9" s="6"/>
      <c r="K9" s="6"/>
      <c r="L9" s="6"/>
      <c r="M9" s="7"/>
      <c r="N9" s="7"/>
      <c r="O9" s="7"/>
      <c r="P9" s="6"/>
      <c r="Q9" s="7"/>
      <c r="R9" s="8"/>
      <c r="S9" s="9"/>
      <c r="T9" s="9"/>
      <c r="U9" s="10"/>
    </row>
    <row r="10" spans="1:22">
      <c r="A10" s="1" t="s">
        <v>16</v>
      </c>
      <c r="B10" s="1" t="s">
        <v>17</v>
      </c>
      <c r="C10" s="5"/>
      <c r="D10" s="12"/>
      <c r="E10" s="1"/>
      <c r="F10" s="1"/>
      <c r="I10" s="6"/>
      <c r="J10" s="6"/>
      <c r="K10" s="6"/>
      <c r="L10" s="6"/>
      <c r="M10" s="7"/>
      <c r="N10" s="7"/>
      <c r="O10" s="7"/>
      <c r="P10" s="6"/>
      <c r="Q10" s="7"/>
      <c r="R10" s="8"/>
      <c r="S10" s="9"/>
      <c r="T10" s="9"/>
      <c r="U10" s="10"/>
    </row>
    <row r="11" spans="1:22">
      <c r="A11" s="1" t="s">
        <v>18</v>
      </c>
      <c r="B11" s="1" t="s">
        <v>19</v>
      </c>
      <c r="C11" s="5"/>
      <c r="D11" s="12"/>
      <c r="E11" s="1"/>
      <c r="F11" s="1"/>
      <c r="I11" s="6"/>
      <c r="J11" s="6"/>
      <c r="K11" s="6"/>
      <c r="L11" s="6"/>
      <c r="M11" s="7"/>
      <c r="N11" s="7"/>
      <c r="O11" s="7"/>
      <c r="P11" s="6"/>
      <c r="Q11" s="7"/>
      <c r="R11" s="8"/>
      <c r="S11" s="9"/>
      <c r="T11" s="9"/>
      <c r="U11" s="10"/>
    </row>
    <row r="12" spans="1:22" ht="31.5">
      <c r="A12" s="27" t="s">
        <v>20</v>
      </c>
      <c r="B12" s="28" t="s">
        <v>21</v>
      </c>
      <c r="C12" s="5"/>
      <c r="D12" s="12"/>
      <c r="E12" s="27"/>
      <c r="F12" s="28"/>
      <c r="I12" s="6"/>
      <c r="J12" s="6"/>
      <c r="K12" s="6"/>
      <c r="L12" s="6"/>
      <c r="M12" s="7"/>
      <c r="N12" s="7"/>
      <c r="O12" s="7"/>
      <c r="P12" s="6"/>
      <c r="Q12" s="7"/>
      <c r="R12" s="8"/>
      <c r="S12" s="9"/>
      <c r="T12" s="9"/>
      <c r="U12" s="10"/>
    </row>
    <row r="13" spans="1:22">
      <c r="A13" s="29"/>
      <c r="B13" s="29"/>
      <c r="C13" s="1"/>
      <c r="D13" s="12"/>
      <c r="I13" s="6"/>
      <c r="J13" s="6"/>
      <c r="K13" s="6"/>
      <c r="L13" s="6"/>
      <c r="M13" s="7"/>
      <c r="N13" s="7"/>
      <c r="O13" s="7"/>
      <c r="P13" s="6"/>
      <c r="Q13" s="7"/>
      <c r="R13" s="8"/>
      <c r="S13" s="9"/>
      <c r="T13" s="9"/>
      <c r="U13" s="10"/>
    </row>
    <row r="14" spans="1:22">
      <c r="B14" s="33"/>
      <c r="C14" s="34"/>
      <c r="D14" s="35"/>
      <c r="E14" s="34"/>
      <c r="F14" s="33"/>
      <c r="G14" s="33"/>
      <c r="H14" s="33"/>
      <c r="I14" s="36"/>
      <c r="J14" s="36"/>
      <c r="K14" s="36"/>
      <c r="L14" s="36"/>
      <c r="M14" s="36"/>
      <c r="N14" s="36"/>
      <c r="O14" s="36"/>
      <c r="P14" s="36"/>
      <c r="Q14" s="36"/>
      <c r="R14" s="33"/>
      <c r="S14" s="9"/>
      <c r="T14" s="9"/>
      <c r="U14" s="10"/>
    </row>
    <row r="15" spans="1:22">
      <c r="A15" s="37" t="s">
        <v>22</v>
      </c>
      <c r="B15" s="37" t="s">
        <v>23</v>
      </c>
      <c r="C15" s="37" t="s">
        <v>24</v>
      </c>
      <c r="D15" s="38" t="s">
        <v>25</v>
      </c>
      <c r="E15" s="38" t="s">
        <v>26</v>
      </c>
      <c r="F15" s="39" t="s">
        <v>27</v>
      </c>
      <c r="G15" s="40" t="s">
        <v>28</v>
      </c>
      <c r="H15" s="40" t="s">
        <v>29</v>
      </c>
      <c r="I15" s="41" t="s">
        <v>30</v>
      </c>
      <c r="J15" s="41"/>
      <c r="K15" s="41"/>
      <c r="L15" s="42" t="s">
        <v>31</v>
      </c>
      <c r="M15" s="42" t="s">
        <v>32</v>
      </c>
      <c r="N15" s="43" t="s">
        <v>33</v>
      </c>
      <c r="O15" s="43" t="s">
        <v>34</v>
      </c>
      <c r="P15" s="44" t="s">
        <v>35</v>
      </c>
      <c r="Q15" s="44" t="s">
        <v>36</v>
      </c>
      <c r="R15" s="45" t="s">
        <v>37</v>
      </c>
      <c r="S15" s="46" t="s">
        <v>38</v>
      </c>
      <c r="T15" s="47" t="s">
        <v>39</v>
      </c>
      <c r="U15" s="47" t="s">
        <v>40</v>
      </c>
      <c r="V15" s="48"/>
    </row>
    <row r="16" spans="1:22">
      <c r="A16" s="37"/>
      <c r="B16" s="37"/>
      <c r="C16" s="37"/>
      <c r="D16" s="38"/>
      <c r="E16" s="38"/>
      <c r="F16" s="39"/>
      <c r="G16" s="40"/>
      <c r="H16" s="40"/>
      <c r="I16" s="44" t="s">
        <v>41</v>
      </c>
      <c r="J16" s="44" t="s">
        <v>42</v>
      </c>
      <c r="K16" s="44" t="s">
        <v>43</v>
      </c>
      <c r="L16" s="42"/>
      <c r="M16" s="42"/>
      <c r="N16" s="43" t="s">
        <v>44</v>
      </c>
      <c r="O16" s="43" t="s">
        <v>44</v>
      </c>
      <c r="P16" s="44" t="s">
        <v>44</v>
      </c>
      <c r="Q16" s="44" t="s">
        <v>44</v>
      </c>
      <c r="R16" s="45"/>
      <c r="S16" s="49"/>
      <c r="T16" s="47"/>
      <c r="U16" s="47"/>
      <c r="V16" s="48"/>
    </row>
    <row r="17" spans="1:22">
      <c r="A17" s="50"/>
      <c r="B17" s="51"/>
      <c r="C17" s="52"/>
      <c r="D17" s="53"/>
      <c r="E17" s="54"/>
      <c r="F17" s="55"/>
      <c r="G17" s="56"/>
      <c r="H17" s="57"/>
      <c r="I17" s="58"/>
      <c r="J17" s="58"/>
      <c r="K17" s="58"/>
      <c r="L17" s="59"/>
      <c r="M17" s="59"/>
      <c r="N17" s="56"/>
      <c r="O17" s="56"/>
      <c r="P17" s="56"/>
      <c r="Q17" s="56"/>
      <c r="R17" s="57"/>
      <c r="S17" s="57"/>
      <c r="T17" s="60"/>
      <c r="U17" s="60"/>
      <c r="V17" s="61"/>
    </row>
    <row r="18" spans="1:22" s="73" customFormat="1" ht="35.1" customHeight="1">
      <c r="A18" s="62" t="s">
        <v>45</v>
      </c>
      <c r="B18" s="62">
        <v>1</v>
      </c>
      <c r="C18" s="63" t="s">
        <v>46</v>
      </c>
      <c r="D18" s="63" t="s">
        <v>47</v>
      </c>
      <c r="E18" s="63" t="s">
        <v>48</v>
      </c>
      <c r="F18" s="64">
        <v>216</v>
      </c>
      <c r="G18" s="63">
        <v>24</v>
      </c>
      <c r="H18" s="63">
        <f t="shared" ref="H18:H24" si="0">F18/G18</f>
        <v>9</v>
      </c>
      <c r="I18" s="65">
        <v>50</v>
      </c>
      <c r="J18" s="65">
        <v>41.5</v>
      </c>
      <c r="K18" s="65">
        <v>46</v>
      </c>
      <c r="L18" s="66">
        <f t="shared" ref="L18:L24" si="1">I18*J18*K18/10^6</f>
        <v>9.5449999999999993E-2</v>
      </c>
      <c r="M18" s="67">
        <f>H18*L18</f>
        <v>0.85904999999999998</v>
      </c>
      <c r="N18" s="68">
        <v>0</v>
      </c>
      <c r="O18" s="66">
        <v>15.4</v>
      </c>
      <c r="P18" s="69">
        <f>N18*H18</f>
        <v>0</v>
      </c>
      <c r="Q18" s="67">
        <f>O18*H18</f>
        <v>138.6</v>
      </c>
      <c r="R18" s="67" t="s">
        <v>49</v>
      </c>
      <c r="S18" s="67"/>
      <c r="T18" s="70">
        <v>83.5</v>
      </c>
      <c r="U18" s="71">
        <f t="shared" ref="U18:U24" si="2">PRODUCT(T18,F18)</f>
        <v>18036</v>
      </c>
      <c r="V18" s="72">
        <f>SUM(U18:U24)</f>
        <v>96468</v>
      </c>
    </row>
    <row r="19" spans="1:22" s="73" customFormat="1" ht="35.1" customHeight="1">
      <c r="A19" s="62" t="s">
        <v>45</v>
      </c>
      <c r="B19" s="62">
        <v>2</v>
      </c>
      <c r="C19" s="63" t="s">
        <v>50</v>
      </c>
      <c r="D19" s="63" t="s">
        <v>51</v>
      </c>
      <c r="E19" s="63" t="s">
        <v>48</v>
      </c>
      <c r="F19" s="64">
        <v>40</v>
      </c>
      <c r="G19" s="63">
        <v>10</v>
      </c>
      <c r="H19" s="63">
        <f t="shared" si="0"/>
        <v>4</v>
      </c>
      <c r="I19" s="65">
        <v>62</v>
      </c>
      <c r="J19" s="65">
        <v>53</v>
      </c>
      <c r="K19" s="65">
        <v>40</v>
      </c>
      <c r="L19" s="66">
        <f t="shared" si="1"/>
        <v>0.13144</v>
      </c>
      <c r="M19" s="67">
        <f t="shared" ref="M19:M24" si="3">H19*L19</f>
        <v>0.52576000000000001</v>
      </c>
      <c r="N19" s="74">
        <v>0</v>
      </c>
      <c r="O19" s="66">
        <v>25</v>
      </c>
      <c r="P19" s="69">
        <f t="shared" ref="P19:P24" si="4">N19*H19</f>
        <v>0</v>
      </c>
      <c r="Q19" s="67">
        <f t="shared" ref="Q19:Q24" si="5">O19*H19</f>
        <v>100</v>
      </c>
      <c r="R19" s="67" t="s">
        <v>49</v>
      </c>
      <c r="S19" s="67"/>
      <c r="T19" s="70">
        <v>139.30000000000001</v>
      </c>
      <c r="U19" s="71">
        <f t="shared" si="2"/>
        <v>5572</v>
      </c>
      <c r="V19" s="75"/>
    </row>
    <row r="20" spans="1:22" s="73" customFormat="1" ht="35.1" customHeight="1">
      <c r="A20" s="62" t="s">
        <v>45</v>
      </c>
      <c r="B20" s="62">
        <v>3</v>
      </c>
      <c r="C20" s="63" t="s">
        <v>52</v>
      </c>
      <c r="D20" s="63" t="s">
        <v>53</v>
      </c>
      <c r="E20" s="63" t="s">
        <v>48</v>
      </c>
      <c r="F20" s="64">
        <v>20</v>
      </c>
      <c r="G20" s="63">
        <v>10</v>
      </c>
      <c r="H20" s="63">
        <f t="shared" si="0"/>
        <v>2</v>
      </c>
      <c r="I20" s="65">
        <v>62</v>
      </c>
      <c r="J20" s="65">
        <v>53</v>
      </c>
      <c r="K20" s="65">
        <v>40</v>
      </c>
      <c r="L20" s="66">
        <f t="shared" si="1"/>
        <v>0.13144</v>
      </c>
      <c r="M20" s="67">
        <f t="shared" si="3"/>
        <v>0.26288</v>
      </c>
      <c r="N20" s="68">
        <v>0</v>
      </c>
      <c r="O20" s="66">
        <v>25</v>
      </c>
      <c r="P20" s="69">
        <f t="shared" si="4"/>
        <v>0</v>
      </c>
      <c r="Q20" s="67">
        <f t="shared" si="5"/>
        <v>50</v>
      </c>
      <c r="R20" s="67" t="s">
        <v>49</v>
      </c>
      <c r="S20" s="67"/>
      <c r="T20" s="70">
        <v>115.3</v>
      </c>
      <c r="U20" s="71">
        <f t="shared" si="2"/>
        <v>2306</v>
      </c>
      <c r="V20" s="75"/>
    </row>
    <row r="21" spans="1:22" s="73" customFormat="1" ht="35.1" customHeight="1">
      <c r="A21" s="62" t="s">
        <v>45</v>
      </c>
      <c r="B21" s="62">
        <v>4</v>
      </c>
      <c r="C21" s="63" t="s">
        <v>54</v>
      </c>
      <c r="D21" s="63" t="s">
        <v>55</v>
      </c>
      <c r="E21" s="63" t="s">
        <v>48</v>
      </c>
      <c r="F21" s="63">
        <v>380</v>
      </c>
      <c r="G21" s="63">
        <v>10</v>
      </c>
      <c r="H21" s="63">
        <f t="shared" si="0"/>
        <v>38</v>
      </c>
      <c r="I21" s="65">
        <v>62</v>
      </c>
      <c r="J21" s="65">
        <v>53</v>
      </c>
      <c r="K21" s="65">
        <v>40</v>
      </c>
      <c r="L21" s="66">
        <f t="shared" si="1"/>
        <v>0.13144</v>
      </c>
      <c r="M21" s="67">
        <f t="shared" si="3"/>
        <v>4.99472</v>
      </c>
      <c r="N21" s="68">
        <v>0</v>
      </c>
      <c r="O21" s="66">
        <v>23</v>
      </c>
      <c r="P21" s="69">
        <f t="shared" si="4"/>
        <v>0</v>
      </c>
      <c r="Q21" s="67">
        <f t="shared" si="5"/>
        <v>874</v>
      </c>
      <c r="R21" s="67" t="s">
        <v>49</v>
      </c>
      <c r="S21" s="67"/>
      <c r="T21" s="70">
        <v>114.3</v>
      </c>
      <c r="U21" s="71">
        <f t="shared" si="2"/>
        <v>43434</v>
      </c>
      <c r="V21" s="75"/>
    </row>
    <row r="22" spans="1:22" s="73" customFormat="1" ht="35.1" customHeight="1">
      <c r="A22" s="62" t="s">
        <v>45</v>
      </c>
      <c r="B22" s="62">
        <v>5</v>
      </c>
      <c r="C22" s="63" t="s">
        <v>56</v>
      </c>
      <c r="D22" s="63" t="s">
        <v>57</v>
      </c>
      <c r="E22" s="63" t="s">
        <v>48</v>
      </c>
      <c r="F22" s="64">
        <v>72</v>
      </c>
      <c r="G22" s="63">
        <v>24</v>
      </c>
      <c r="H22" s="63">
        <f t="shared" si="0"/>
        <v>3</v>
      </c>
      <c r="I22" s="65">
        <v>50</v>
      </c>
      <c r="J22" s="65">
        <v>41.5</v>
      </c>
      <c r="K22" s="65">
        <v>46</v>
      </c>
      <c r="L22" s="66">
        <f t="shared" si="1"/>
        <v>9.5449999999999993E-2</v>
      </c>
      <c r="M22" s="67">
        <f t="shared" si="3"/>
        <v>0.28634999999999999</v>
      </c>
      <c r="N22" s="68">
        <v>0</v>
      </c>
      <c r="O22" s="66">
        <v>15.4</v>
      </c>
      <c r="P22" s="69">
        <f t="shared" si="4"/>
        <v>0</v>
      </c>
      <c r="Q22" s="67">
        <f t="shared" si="5"/>
        <v>46.2</v>
      </c>
      <c r="R22" s="67" t="s">
        <v>49</v>
      </c>
      <c r="S22" s="67"/>
      <c r="T22" s="70">
        <v>65</v>
      </c>
      <c r="U22" s="71">
        <f t="shared" si="2"/>
        <v>4680</v>
      </c>
      <c r="V22" s="75"/>
    </row>
    <row r="23" spans="1:22" s="73" customFormat="1" ht="35.1" customHeight="1">
      <c r="A23" s="62" t="s">
        <v>45</v>
      </c>
      <c r="B23" s="62">
        <v>6</v>
      </c>
      <c r="C23" s="63" t="s">
        <v>58</v>
      </c>
      <c r="D23" s="63" t="s">
        <v>59</v>
      </c>
      <c r="E23" s="63" t="s">
        <v>48</v>
      </c>
      <c r="F23" s="64">
        <v>216</v>
      </c>
      <c r="G23" s="63">
        <v>24</v>
      </c>
      <c r="H23" s="63">
        <f t="shared" si="0"/>
        <v>9</v>
      </c>
      <c r="I23" s="65">
        <v>50</v>
      </c>
      <c r="J23" s="65">
        <v>41.5</v>
      </c>
      <c r="K23" s="65">
        <v>46</v>
      </c>
      <c r="L23" s="66">
        <f t="shared" si="1"/>
        <v>9.5449999999999993E-2</v>
      </c>
      <c r="M23" s="67">
        <f t="shared" si="3"/>
        <v>0.85904999999999998</v>
      </c>
      <c r="N23" s="68">
        <v>0</v>
      </c>
      <c r="O23" s="66">
        <v>15.4</v>
      </c>
      <c r="P23" s="69">
        <f t="shared" si="4"/>
        <v>0</v>
      </c>
      <c r="Q23" s="67">
        <f t="shared" si="5"/>
        <v>138.6</v>
      </c>
      <c r="R23" s="67" t="s">
        <v>49</v>
      </c>
      <c r="S23" s="67"/>
      <c r="T23" s="70">
        <v>77.5</v>
      </c>
      <c r="U23" s="71">
        <f t="shared" si="2"/>
        <v>16740</v>
      </c>
      <c r="V23" s="75"/>
    </row>
    <row r="24" spans="1:22" s="73" customFormat="1" ht="35.1" customHeight="1">
      <c r="A24" s="62" t="s">
        <v>45</v>
      </c>
      <c r="B24" s="62">
        <v>7</v>
      </c>
      <c r="C24" s="63" t="s">
        <v>60</v>
      </c>
      <c r="D24" s="76" t="s">
        <v>61</v>
      </c>
      <c r="E24" s="63" t="s">
        <v>48</v>
      </c>
      <c r="F24" s="63">
        <v>60</v>
      </c>
      <c r="G24" s="63">
        <v>10</v>
      </c>
      <c r="H24" s="63">
        <f t="shared" si="0"/>
        <v>6</v>
      </c>
      <c r="I24" s="65">
        <v>49.5</v>
      </c>
      <c r="J24" s="65">
        <v>37.5</v>
      </c>
      <c r="K24" s="65">
        <v>68.5</v>
      </c>
      <c r="L24" s="66">
        <f t="shared" si="1"/>
        <v>0.12715312500000001</v>
      </c>
      <c r="M24" s="67">
        <f t="shared" si="3"/>
        <v>0.76291875000000009</v>
      </c>
      <c r="N24" s="68">
        <v>0</v>
      </c>
      <c r="O24" s="66">
        <v>22.5</v>
      </c>
      <c r="P24" s="69">
        <f t="shared" si="4"/>
        <v>0</v>
      </c>
      <c r="Q24" s="67">
        <f t="shared" si="5"/>
        <v>135</v>
      </c>
      <c r="R24" s="67" t="s">
        <v>49</v>
      </c>
      <c r="S24" s="67"/>
      <c r="T24" s="70">
        <v>95</v>
      </c>
      <c r="U24" s="71">
        <f t="shared" si="2"/>
        <v>5700</v>
      </c>
      <c r="V24" s="75"/>
    </row>
    <row r="25" spans="1:22" s="84" customFormat="1" ht="15.95" customHeight="1">
      <c r="A25" s="77"/>
      <c r="B25" s="78"/>
      <c r="C25" s="79"/>
      <c r="D25" s="80"/>
      <c r="E25" s="80"/>
      <c r="F25" s="81">
        <f>SUM(F18:F24)</f>
        <v>1004</v>
      </c>
      <c r="G25" s="81">
        <f>SUM(G18:G24)</f>
        <v>112</v>
      </c>
      <c r="H25" s="81">
        <f>SUM(H18:H24)</f>
        <v>71</v>
      </c>
      <c r="I25" s="81"/>
      <c r="J25" s="81"/>
      <c r="K25" s="81"/>
      <c r="L25" s="81"/>
      <c r="M25" s="82">
        <f>SUM(M18:M24)</f>
        <v>8.5507287499999993</v>
      </c>
      <c r="N25" s="81"/>
      <c r="O25" s="82"/>
      <c r="P25" s="82">
        <f>SUM(P18:P24)</f>
        <v>0</v>
      </c>
      <c r="Q25" s="82">
        <f>SUM(Q18:Q24)</f>
        <v>1482.3999999999999</v>
      </c>
      <c r="R25" s="81"/>
      <c r="S25" s="81"/>
      <c r="T25" s="83"/>
      <c r="U25" s="83">
        <f>SUM(U18:U24)</f>
        <v>96468</v>
      </c>
      <c r="V25" s="83">
        <f>SUM(V18)</f>
        <v>96468</v>
      </c>
    </row>
    <row r="26" spans="1:22" s="92" customFormat="1" ht="35.1" customHeight="1">
      <c r="A26" s="85" t="s">
        <v>62</v>
      </c>
      <c r="B26" s="86">
        <v>8</v>
      </c>
      <c r="C26" s="63" t="s">
        <v>63</v>
      </c>
      <c r="D26" s="63" t="s">
        <v>64</v>
      </c>
      <c r="E26" s="63" t="s">
        <v>48</v>
      </c>
      <c r="F26" s="63">
        <v>200</v>
      </c>
      <c r="G26" s="63">
        <v>10</v>
      </c>
      <c r="H26" s="63">
        <f>F26/G26</f>
        <v>20</v>
      </c>
      <c r="I26" s="70">
        <v>62</v>
      </c>
      <c r="J26" s="70">
        <v>53.5</v>
      </c>
      <c r="K26" s="70">
        <v>30.5</v>
      </c>
      <c r="L26" s="87">
        <f>I26*J26*K26/10^6</f>
        <v>0.10116849999999999</v>
      </c>
      <c r="M26" s="88">
        <f>L26*H26</f>
        <v>2.0233699999999999</v>
      </c>
      <c r="N26" s="88">
        <v>0</v>
      </c>
      <c r="O26" s="88">
        <v>19</v>
      </c>
      <c r="P26" s="88">
        <v>0</v>
      </c>
      <c r="Q26" s="88">
        <f>O26*H26</f>
        <v>380</v>
      </c>
      <c r="R26" s="89" t="s">
        <v>65</v>
      </c>
      <c r="S26" s="89"/>
      <c r="T26" s="90">
        <v>100</v>
      </c>
      <c r="U26" s="90">
        <f>T26*F26</f>
        <v>20000</v>
      </c>
      <c r="V26" s="91">
        <f>SUM(U26:U28)</f>
        <v>59860</v>
      </c>
    </row>
    <row r="27" spans="1:22" s="92" customFormat="1" ht="35.1" customHeight="1">
      <c r="A27" s="85" t="s">
        <v>62</v>
      </c>
      <c r="B27" s="86">
        <v>9</v>
      </c>
      <c r="C27" s="63" t="s">
        <v>66</v>
      </c>
      <c r="D27" s="63" t="s">
        <v>67</v>
      </c>
      <c r="E27" s="63" t="s">
        <v>48</v>
      </c>
      <c r="F27" s="63">
        <v>180</v>
      </c>
      <c r="G27" s="63">
        <v>10</v>
      </c>
      <c r="H27" s="63">
        <f>F27/G27</f>
        <v>18</v>
      </c>
      <c r="I27" s="70">
        <v>62</v>
      </c>
      <c r="J27" s="70">
        <v>53.5</v>
      </c>
      <c r="K27" s="70">
        <v>30.5</v>
      </c>
      <c r="L27" s="87">
        <f>I27*J27*K27/10^6</f>
        <v>0.10116849999999999</v>
      </c>
      <c r="M27" s="88">
        <f>L27*H27</f>
        <v>1.8210329999999999</v>
      </c>
      <c r="N27" s="88">
        <v>0</v>
      </c>
      <c r="O27" s="88">
        <v>19</v>
      </c>
      <c r="P27" s="88">
        <v>0</v>
      </c>
      <c r="Q27" s="88">
        <f>O27*H27</f>
        <v>342</v>
      </c>
      <c r="R27" s="89" t="s">
        <v>65</v>
      </c>
      <c r="S27" s="89"/>
      <c r="T27" s="90">
        <v>110</v>
      </c>
      <c r="U27" s="90">
        <f>T27*F27</f>
        <v>19800</v>
      </c>
      <c r="V27" s="93"/>
    </row>
    <row r="28" spans="1:22" s="92" customFormat="1" ht="35.1" customHeight="1">
      <c r="A28" s="85" t="s">
        <v>62</v>
      </c>
      <c r="B28" s="86">
        <v>10</v>
      </c>
      <c r="C28" s="63" t="s">
        <v>68</v>
      </c>
      <c r="D28" s="63" t="s">
        <v>69</v>
      </c>
      <c r="E28" s="63" t="s">
        <v>48</v>
      </c>
      <c r="F28" s="63">
        <v>170</v>
      </c>
      <c r="G28" s="63">
        <v>10</v>
      </c>
      <c r="H28" s="63">
        <f>F28/G28</f>
        <v>17</v>
      </c>
      <c r="I28" s="70">
        <v>62</v>
      </c>
      <c r="J28" s="70">
        <v>53.5</v>
      </c>
      <c r="K28" s="70">
        <v>30.5</v>
      </c>
      <c r="L28" s="87">
        <f>I28*J28*K28/10^6</f>
        <v>0.10116849999999999</v>
      </c>
      <c r="M28" s="88">
        <f>L28*H28</f>
        <v>1.7198644999999999</v>
      </c>
      <c r="N28" s="88">
        <v>0</v>
      </c>
      <c r="O28" s="88">
        <v>19</v>
      </c>
      <c r="P28" s="88">
        <v>0</v>
      </c>
      <c r="Q28" s="88">
        <f>O28*H28</f>
        <v>323</v>
      </c>
      <c r="R28" s="89" t="s">
        <v>65</v>
      </c>
      <c r="S28" s="89"/>
      <c r="T28" s="90">
        <v>118</v>
      </c>
      <c r="U28" s="90">
        <f>T28*F28</f>
        <v>20060</v>
      </c>
      <c r="V28" s="94"/>
    </row>
    <row r="29" spans="1:22" s="84" customFormat="1" ht="15.95" customHeight="1">
      <c r="A29" s="77"/>
      <c r="B29" s="78"/>
      <c r="C29" s="79"/>
      <c r="D29" s="80"/>
      <c r="E29" s="80"/>
      <c r="F29" s="81">
        <f>SUM(F26:F28)</f>
        <v>550</v>
      </c>
      <c r="G29" s="81">
        <f>SUM(G26:G28)</f>
        <v>30</v>
      </c>
      <c r="H29" s="81">
        <f>SUM(H26:H28)</f>
        <v>55</v>
      </c>
      <c r="I29" s="81"/>
      <c r="J29" s="81"/>
      <c r="K29" s="81"/>
      <c r="L29" s="81"/>
      <c r="M29" s="82">
        <f>SUM(M26:M28)</f>
        <v>5.5642674999999997</v>
      </c>
      <c r="N29" s="81"/>
      <c r="O29" s="81"/>
      <c r="P29" s="82">
        <f>SUM(P26:P28)</f>
        <v>0</v>
      </c>
      <c r="Q29" s="82">
        <f>SUM(Q26:Q28)</f>
        <v>1045</v>
      </c>
      <c r="R29" s="81"/>
      <c r="S29" s="81"/>
      <c r="T29" s="81"/>
      <c r="U29" s="82">
        <f>SUM(U26:U28)</f>
        <v>59860</v>
      </c>
      <c r="V29" s="82">
        <f>SUM(V26)</f>
        <v>59860</v>
      </c>
    </row>
    <row r="30" spans="1:22" s="73" customFormat="1" ht="35.1" customHeight="1">
      <c r="A30" s="95" t="s">
        <v>70</v>
      </c>
      <c r="B30" s="62">
        <v>11</v>
      </c>
      <c r="C30" s="96" t="s">
        <v>71</v>
      </c>
      <c r="D30" s="96" t="s">
        <v>72</v>
      </c>
      <c r="E30" s="97" t="s">
        <v>73</v>
      </c>
      <c r="F30" s="97">
        <v>200</v>
      </c>
      <c r="G30" s="97">
        <v>20</v>
      </c>
      <c r="H30" s="97">
        <f>F30/G30</f>
        <v>10</v>
      </c>
      <c r="I30" s="98">
        <v>48</v>
      </c>
      <c r="J30" s="98">
        <v>36</v>
      </c>
      <c r="K30" s="98">
        <v>30</v>
      </c>
      <c r="L30" s="99">
        <f>I30*J30*K30/10^6</f>
        <v>5.1839999999999997E-2</v>
      </c>
      <c r="M30" s="67">
        <f>H30*L30</f>
        <v>0.51839999999999997</v>
      </c>
      <c r="N30" s="68">
        <v>16</v>
      </c>
      <c r="O30" s="67">
        <v>18.7</v>
      </c>
      <c r="P30" s="69">
        <f>N30*H30</f>
        <v>160</v>
      </c>
      <c r="Q30" s="67">
        <f>O30*H30</f>
        <v>187</v>
      </c>
      <c r="R30" s="67" t="s">
        <v>49</v>
      </c>
      <c r="S30" s="67"/>
      <c r="T30" s="71">
        <v>118</v>
      </c>
      <c r="U30" s="71">
        <f>PRODUCT(T30,F30)</f>
        <v>23600</v>
      </c>
      <c r="V30" s="72">
        <f>SUM(U30:U34)</f>
        <v>125968</v>
      </c>
    </row>
    <row r="31" spans="1:22" s="73" customFormat="1" ht="35.1" customHeight="1">
      <c r="A31" s="95" t="s">
        <v>70</v>
      </c>
      <c r="B31" s="62">
        <v>12</v>
      </c>
      <c r="C31" s="96" t="s">
        <v>74</v>
      </c>
      <c r="D31" s="96" t="s">
        <v>72</v>
      </c>
      <c r="E31" s="97" t="s">
        <v>73</v>
      </c>
      <c r="F31" s="97">
        <v>200</v>
      </c>
      <c r="G31" s="97">
        <v>20</v>
      </c>
      <c r="H31" s="97">
        <f>F31/G31</f>
        <v>10</v>
      </c>
      <c r="I31" s="98">
        <v>48</v>
      </c>
      <c r="J31" s="98">
        <v>36</v>
      </c>
      <c r="K31" s="98">
        <v>30</v>
      </c>
      <c r="L31" s="99">
        <f>I31*J31*K31/10^6</f>
        <v>5.1839999999999997E-2</v>
      </c>
      <c r="M31" s="67">
        <f>H31*L31</f>
        <v>0.51839999999999997</v>
      </c>
      <c r="N31" s="68">
        <v>16</v>
      </c>
      <c r="O31" s="67">
        <v>18.7</v>
      </c>
      <c r="P31" s="69">
        <f>N31*H31</f>
        <v>160</v>
      </c>
      <c r="Q31" s="67">
        <f>O31*H31</f>
        <v>187</v>
      </c>
      <c r="R31" s="67" t="s">
        <v>49</v>
      </c>
      <c r="S31" s="67"/>
      <c r="T31" s="71">
        <v>163</v>
      </c>
      <c r="U31" s="71">
        <f>PRODUCT(T31,F31)</f>
        <v>32600</v>
      </c>
      <c r="V31" s="75"/>
    </row>
    <row r="32" spans="1:22" s="73" customFormat="1" ht="35.1" customHeight="1">
      <c r="A32" s="95" t="s">
        <v>70</v>
      </c>
      <c r="B32" s="62">
        <v>13</v>
      </c>
      <c r="C32" s="96" t="s">
        <v>75</v>
      </c>
      <c r="D32" s="96" t="s">
        <v>72</v>
      </c>
      <c r="E32" s="97" t="s">
        <v>73</v>
      </c>
      <c r="F32" s="97">
        <v>200</v>
      </c>
      <c r="G32" s="97">
        <v>10</v>
      </c>
      <c r="H32" s="97">
        <f>F32/G32</f>
        <v>20</v>
      </c>
      <c r="I32" s="98">
        <v>43.5</v>
      </c>
      <c r="J32" s="98">
        <v>40</v>
      </c>
      <c r="K32" s="98">
        <v>30</v>
      </c>
      <c r="L32" s="99">
        <f>I32*J32*K32/10^6</f>
        <v>5.2200000000000003E-2</v>
      </c>
      <c r="M32" s="67">
        <f>H32*L32</f>
        <v>1.044</v>
      </c>
      <c r="N32" s="68">
        <v>11</v>
      </c>
      <c r="O32" s="67">
        <v>13.6</v>
      </c>
      <c r="P32" s="69">
        <f>N32*H32</f>
        <v>220</v>
      </c>
      <c r="Q32" s="67">
        <f>O32*H32</f>
        <v>272</v>
      </c>
      <c r="R32" s="67" t="s">
        <v>49</v>
      </c>
      <c r="S32" s="67"/>
      <c r="T32" s="71">
        <v>206</v>
      </c>
      <c r="U32" s="71">
        <f>PRODUCT(T32,F32)</f>
        <v>41200</v>
      </c>
      <c r="V32" s="75"/>
    </row>
    <row r="33" spans="1:22" s="73" customFormat="1" ht="35.1" customHeight="1">
      <c r="A33" s="95" t="s">
        <v>70</v>
      </c>
      <c r="B33" s="62">
        <v>14</v>
      </c>
      <c r="C33" s="96" t="s">
        <v>71</v>
      </c>
      <c r="D33" s="96" t="s">
        <v>72</v>
      </c>
      <c r="E33" s="97" t="s">
        <v>73</v>
      </c>
      <c r="F33" s="97">
        <v>200</v>
      </c>
      <c r="G33" s="97">
        <v>20</v>
      </c>
      <c r="H33" s="97">
        <f>F33/G33</f>
        <v>10</v>
      </c>
      <c r="I33" s="98">
        <v>48</v>
      </c>
      <c r="J33" s="98">
        <v>36</v>
      </c>
      <c r="K33" s="98">
        <v>30</v>
      </c>
      <c r="L33" s="99">
        <f>I33*J33*K33/10^6</f>
        <v>5.1839999999999997E-2</v>
      </c>
      <c r="M33" s="67">
        <f>H33*L33</f>
        <v>0.51839999999999997</v>
      </c>
      <c r="N33" s="68">
        <v>16</v>
      </c>
      <c r="O33" s="67">
        <v>18.7</v>
      </c>
      <c r="P33" s="69">
        <f>N33*H33</f>
        <v>160</v>
      </c>
      <c r="Q33" s="67">
        <f>O33*H33</f>
        <v>187</v>
      </c>
      <c r="R33" s="67" t="s">
        <v>49</v>
      </c>
      <c r="S33" s="67"/>
      <c r="T33" s="71">
        <v>118</v>
      </c>
      <c r="U33" s="71">
        <f>PRODUCT(T33,F33)</f>
        <v>23600</v>
      </c>
      <c r="V33" s="75"/>
    </row>
    <row r="34" spans="1:22" s="73" customFormat="1" ht="35.1" customHeight="1">
      <c r="A34" s="95" t="s">
        <v>70</v>
      </c>
      <c r="B34" s="62">
        <v>15</v>
      </c>
      <c r="C34" s="96" t="s">
        <v>76</v>
      </c>
      <c r="D34" s="96" t="s">
        <v>72</v>
      </c>
      <c r="E34" s="97" t="s">
        <v>73</v>
      </c>
      <c r="F34" s="97">
        <v>24</v>
      </c>
      <c r="G34" s="97">
        <v>8</v>
      </c>
      <c r="H34" s="97">
        <f>F34/G34</f>
        <v>3</v>
      </c>
      <c r="I34" s="98">
        <v>46</v>
      </c>
      <c r="J34" s="98">
        <v>42</v>
      </c>
      <c r="K34" s="98">
        <v>32</v>
      </c>
      <c r="L34" s="99">
        <f>I34*J34*K34/10^6</f>
        <v>6.1823999999999997E-2</v>
      </c>
      <c r="M34" s="67">
        <f>H34*L34</f>
        <v>0.185472</v>
      </c>
      <c r="N34" s="68">
        <v>12</v>
      </c>
      <c r="O34" s="67">
        <v>14</v>
      </c>
      <c r="P34" s="69">
        <f>N34*H34</f>
        <v>36</v>
      </c>
      <c r="Q34" s="67">
        <f>O34*H34</f>
        <v>42</v>
      </c>
      <c r="R34" s="67" t="s">
        <v>49</v>
      </c>
      <c r="S34" s="67"/>
      <c r="T34" s="71">
        <v>207</v>
      </c>
      <c r="U34" s="71">
        <f>PRODUCT(T34,F34)</f>
        <v>4968</v>
      </c>
      <c r="V34" s="75"/>
    </row>
    <row r="35" spans="1:22" s="84" customFormat="1" ht="15.95" customHeight="1">
      <c r="A35" s="77"/>
      <c r="B35" s="78"/>
      <c r="C35" s="79"/>
      <c r="D35" s="80"/>
      <c r="E35" s="80"/>
      <c r="F35" s="100">
        <f>SUM(F30:F34)</f>
        <v>824</v>
      </c>
      <c r="G35" s="100">
        <f>SUM(G30:G34)</f>
        <v>78</v>
      </c>
      <c r="H35" s="100">
        <f>SUM(H30:H34)</f>
        <v>53</v>
      </c>
      <c r="I35" s="83"/>
      <c r="J35" s="83"/>
      <c r="K35" s="83"/>
      <c r="L35" s="83"/>
      <c r="M35" s="83">
        <f>SUM(M30:M34)</f>
        <v>2.7846719999999996</v>
      </c>
      <c r="N35" s="83"/>
      <c r="O35" s="83"/>
      <c r="P35" s="83">
        <f>SUM(P30:P34)</f>
        <v>736</v>
      </c>
      <c r="Q35" s="83">
        <f>SUM(Q30:Q34)</f>
        <v>875</v>
      </c>
      <c r="R35" s="83"/>
      <c r="S35" s="83"/>
      <c r="T35" s="83"/>
      <c r="U35" s="83">
        <f>SUM(U30:U34)</f>
        <v>125968</v>
      </c>
      <c r="V35" s="83">
        <f>SUM(V30)</f>
        <v>125968</v>
      </c>
    </row>
    <row r="36" spans="1:22" s="73" customFormat="1" ht="35.1" customHeight="1">
      <c r="A36" s="62" t="s">
        <v>77</v>
      </c>
      <c r="B36" s="62">
        <v>16</v>
      </c>
      <c r="C36" s="101" t="s">
        <v>78</v>
      </c>
      <c r="D36" s="102" t="s">
        <v>79</v>
      </c>
      <c r="E36" s="103" t="s">
        <v>80</v>
      </c>
      <c r="F36" s="103">
        <v>490</v>
      </c>
      <c r="G36" s="104">
        <v>10</v>
      </c>
      <c r="H36" s="105">
        <v>86</v>
      </c>
      <c r="I36" s="106">
        <v>34</v>
      </c>
      <c r="J36" s="106">
        <v>24</v>
      </c>
      <c r="K36" s="107">
        <v>30</v>
      </c>
      <c r="L36" s="108">
        <f>I36*J36*K36/1000000</f>
        <v>2.4479999999999998E-2</v>
      </c>
      <c r="M36" s="109">
        <f>H36*L36</f>
        <v>2.10528</v>
      </c>
      <c r="N36" s="110">
        <v>7</v>
      </c>
      <c r="O36" s="111">
        <v>8.3000000000000007</v>
      </c>
      <c r="P36" s="112">
        <f t="shared" ref="P36:P56" si="6">N36*H36</f>
        <v>602</v>
      </c>
      <c r="Q36" s="109">
        <f t="shared" ref="Q36:Q56" si="7">O36*H36</f>
        <v>713.80000000000007</v>
      </c>
      <c r="R36" s="67" t="s">
        <v>49</v>
      </c>
      <c r="S36" s="67"/>
      <c r="T36" s="113">
        <v>65.5</v>
      </c>
      <c r="U36" s="113">
        <f t="shared" ref="U36:U60" si="8">PRODUCT(T36,F36)</f>
        <v>32095</v>
      </c>
      <c r="V36" s="72">
        <f>SUM(U36:U56)</f>
        <v>239975</v>
      </c>
    </row>
    <row r="37" spans="1:22" s="73" customFormat="1" ht="35.1" customHeight="1">
      <c r="A37" s="62" t="s">
        <v>77</v>
      </c>
      <c r="B37" s="62">
        <v>17</v>
      </c>
      <c r="C37" s="101" t="s">
        <v>78</v>
      </c>
      <c r="D37" s="102" t="s">
        <v>79</v>
      </c>
      <c r="E37" s="103" t="s">
        <v>80</v>
      </c>
      <c r="F37" s="103">
        <v>370</v>
      </c>
      <c r="G37" s="114"/>
      <c r="H37" s="115"/>
      <c r="I37" s="116"/>
      <c r="J37" s="116"/>
      <c r="K37" s="117"/>
      <c r="L37" s="118"/>
      <c r="M37" s="119"/>
      <c r="N37" s="120"/>
      <c r="O37" s="121"/>
      <c r="P37" s="122"/>
      <c r="Q37" s="119"/>
      <c r="R37" s="67" t="s">
        <v>49</v>
      </c>
      <c r="S37" s="67"/>
      <c r="T37" s="113">
        <v>66</v>
      </c>
      <c r="U37" s="113">
        <f>PRODUCT(T37,F37)</f>
        <v>24420</v>
      </c>
      <c r="V37" s="75"/>
    </row>
    <row r="38" spans="1:22" s="73" customFormat="1" ht="35.1" customHeight="1">
      <c r="A38" s="62" t="s">
        <v>77</v>
      </c>
      <c r="B38" s="62">
        <v>18</v>
      </c>
      <c r="C38" s="123" t="s">
        <v>81</v>
      </c>
      <c r="D38" s="102" t="s">
        <v>79</v>
      </c>
      <c r="E38" s="103" t="s">
        <v>80</v>
      </c>
      <c r="F38" s="103">
        <v>100</v>
      </c>
      <c r="G38" s="104">
        <v>10</v>
      </c>
      <c r="H38" s="105">
        <v>20</v>
      </c>
      <c r="I38" s="106">
        <v>34</v>
      </c>
      <c r="J38" s="106">
        <v>24</v>
      </c>
      <c r="K38" s="107">
        <v>30</v>
      </c>
      <c r="L38" s="108">
        <f t="shared" ref="L38:L56" si="9">I38*J38*K38/1000000</f>
        <v>2.4479999999999998E-2</v>
      </c>
      <c r="M38" s="109">
        <f t="shared" ref="M38:M56" si="10">H38*L38</f>
        <v>0.48959999999999998</v>
      </c>
      <c r="N38" s="110">
        <v>8.4</v>
      </c>
      <c r="O38" s="111">
        <v>10</v>
      </c>
      <c r="P38" s="112">
        <f t="shared" si="6"/>
        <v>168</v>
      </c>
      <c r="Q38" s="109">
        <f t="shared" si="7"/>
        <v>200</v>
      </c>
      <c r="R38" s="67" t="s">
        <v>49</v>
      </c>
      <c r="S38" s="67"/>
      <c r="T38" s="113">
        <v>90.5</v>
      </c>
      <c r="U38" s="113">
        <f t="shared" si="8"/>
        <v>9050</v>
      </c>
      <c r="V38" s="75"/>
    </row>
    <row r="39" spans="1:22" s="73" customFormat="1" ht="35.1" customHeight="1">
      <c r="A39" s="62" t="s">
        <v>77</v>
      </c>
      <c r="B39" s="62">
        <v>19</v>
      </c>
      <c r="C39" s="123" t="s">
        <v>81</v>
      </c>
      <c r="D39" s="102" t="s">
        <v>79</v>
      </c>
      <c r="E39" s="103" t="s">
        <v>80</v>
      </c>
      <c r="F39" s="103">
        <v>100</v>
      </c>
      <c r="G39" s="114"/>
      <c r="H39" s="115"/>
      <c r="I39" s="116"/>
      <c r="J39" s="116"/>
      <c r="K39" s="117"/>
      <c r="L39" s="118"/>
      <c r="M39" s="119"/>
      <c r="N39" s="120"/>
      <c r="O39" s="121"/>
      <c r="P39" s="122"/>
      <c r="Q39" s="119"/>
      <c r="R39" s="67" t="s">
        <v>49</v>
      </c>
      <c r="S39" s="67"/>
      <c r="T39" s="113">
        <v>91</v>
      </c>
      <c r="U39" s="113">
        <f>PRODUCT(T39,F39)</f>
        <v>9100</v>
      </c>
      <c r="V39" s="75"/>
    </row>
    <row r="40" spans="1:22" s="73" customFormat="1" ht="35.1" customHeight="1">
      <c r="A40" s="62" t="s">
        <v>77</v>
      </c>
      <c r="B40" s="62">
        <v>20</v>
      </c>
      <c r="C40" s="124" t="s">
        <v>82</v>
      </c>
      <c r="D40" s="125" t="s">
        <v>83</v>
      </c>
      <c r="E40" s="103" t="s">
        <v>80</v>
      </c>
      <c r="F40" s="103">
        <v>90</v>
      </c>
      <c r="G40" s="126">
        <v>30</v>
      </c>
      <c r="H40" s="127">
        <v>3</v>
      </c>
      <c r="I40" s="128">
        <v>39.5</v>
      </c>
      <c r="J40" s="128">
        <v>29</v>
      </c>
      <c r="K40" s="129">
        <v>36.5</v>
      </c>
      <c r="L40" s="130">
        <f t="shared" si="9"/>
        <v>4.1810750000000001E-2</v>
      </c>
      <c r="M40" s="67">
        <f t="shared" si="10"/>
        <v>0.12543225</v>
      </c>
      <c r="N40" s="131">
        <v>16</v>
      </c>
      <c r="O40" s="132">
        <v>18.600000000000001</v>
      </c>
      <c r="P40" s="69">
        <f t="shared" si="6"/>
        <v>48</v>
      </c>
      <c r="Q40" s="67">
        <f t="shared" si="7"/>
        <v>55.800000000000004</v>
      </c>
      <c r="R40" s="67" t="s">
        <v>49</v>
      </c>
      <c r="S40" s="67"/>
      <c r="T40" s="113">
        <v>63.5</v>
      </c>
      <c r="U40" s="113">
        <f t="shared" si="8"/>
        <v>5715</v>
      </c>
      <c r="V40" s="75"/>
    </row>
    <row r="41" spans="1:22" s="73" customFormat="1" ht="35.1" customHeight="1">
      <c r="A41" s="62" t="s">
        <v>77</v>
      </c>
      <c r="B41" s="62">
        <v>21</v>
      </c>
      <c r="C41" s="101" t="s">
        <v>84</v>
      </c>
      <c r="D41" s="125" t="s">
        <v>85</v>
      </c>
      <c r="E41" s="103" t="s">
        <v>80</v>
      </c>
      <c r="F41" s="103">
        <v>150</v>
      </c>
      <c r="G41" s="126">
        <v>50</v>
      </c>
      <c r="H41" s="127">
        <v>3</v>
      </c>
      <c r="I41" s="128">
        <v>38</v>
      </c>
      <c r="J41" s="128">
        <v>37</v>
      </c>
      <c r="K41" s="129">
        <v>14.5</v>
      </c>
      <c r="L41" s="130">
        <f t="shared" si="9"/>
        <v>2.0386999999999999E-2</v>
      </c>
      <c r="M41" s="67">
        <f t="shared" si="10"/>
        <v>6.1160999999999993E-2</v>
      </c>
      <c r="N41" s="131">
        <v>10</v>
      </c>
      <c r="O41" s="132">
        <v>11.5</v>
      </c>
      <c r="P41" s="69">
        <f t="shared" si="6"/>
        <v>30</v>
      </c>
      <c r="Q41" s="67">
        <f t="shared" si="7"/>
        <v>34.5</v>
      </c>
      <c r="R41" s="67" t="s">
        <v>49</v>
      </c>
      <c r="S41" s="67"/>
      <c r="T41" s="113">
        <v>32</v>
      </c>
      <c r="U41" s="113">
        <f>PRODUCT(T41,F41)</f>
        <v>4800</v>
      </c>
      <c r="V41" s="75"/>
    </row>
    <row r="42" spans="1:22" s="73" customFormat="1" ht="35.1" customHeight="1">
      <c r="A42" s="62" t="s">
        <v>77</v>
      </c>
      <c r="B42" s="62">
        <v>22</v>
      </c>
      <c r="C42" s="101" t="s">
        <v>86</v>
      </c>
      <c r="D42" s="125" t="s">
        <v>85</v>
      </c>
      <c r="E42" s="103" t="s">
        <v>80</v>
      </c>
      <c r="F42" s="103">
        <v>300</v>
      </c>
      <c r="G42" s="126">
        <v>50</v>
      </c>
      <c r="H42" s="127">
        <v>6</v>
      </c>
      <c r="I42" s="128">
        <v>38</v>
      </c>
      <c r="J42" s="128">
        <v>37</v>
      </c>
      <c r="K42" s="129">
        <v>14.5</v>
      </c>
      <c r="L42" s="130">
        <f t="shared" si="9"/>
        <v>2.0386999999999999E-2</v>
      </c>
      <c r="M42" s="67">
        <f t="shared" si="10"/>
        <v>0.12232199999999999</v>
      </c>
      <c r="N42" s="131">
        <v>10</v>
      </c>
      <c r="O42" s="132">
        <v>11.5</v>
      </c>
      <c r="P42" s="69">
        <f t="shared" si="6"/>
        <v>60</v>
      </c>
      <c r="Q42" s="67">
        <f t="shared" si="7"/>
        <v>69</v>
      </c>
      <c r="R42" s="67" t="s">
        <v>49</v>
      </c>
      <c r="S42" s="67"/>
      <c r="T42" s="113">
        <v>32.5</v>
      </c>
      <c r="U42" s="113">
        <f t="shared" si="8"/>
        <v>9750</v>
      </c>
      <c r="V42" s="75"/>
    </row>
    <row r="43" spans="1:22" s="73" customFormat="1" ht="35.1" customHeight="1">
      <c r="A43" s="62" t="s">
        <v>77</v>
      </c>
      <c r="B43" s="62">
        <v>23</v>
      </c>
      <c r="C43" s="101" t="s">
        <v>87</v>
      </c>
      <c r="D43" s="102" t="s">
        <v>88</v>
      </c>
      <c r="E43" s="103" t="s">
        <v>80</v>
      </c>
      <c r="F43" s="103">
        <v>10</v>
      </c>
      <c r="G43" s="104">
        <v>10</v>
      </c>
      <c r="H43" s="105">
        <v>22</v>
      </c>
      <c r="I43" s="106">
        <v>40</v>
      </c>
      <c r="J43" s="106">
        <v>24.5</v>
      </c>
      <c r="K43" s="107">
        <v>30</v>
      </c>
      <c r="L43" s="108">
        <f t="shared" si="9"/>
        <v>2.9399999999999999E-2</v>
      </c>
      <c r="M43" s="109">
        <f t="shared" si="10"/>
        <v>0.64679999999999993</v>
      </c>
      <c r="N43" s="110">
        <v>11</v>
      </c>
      <c r="O43" s="111">
        <v>13.7</v>
      </c>
      <c r="P43" s="112">
        <f t="shared" si="6"/>
        <v>242</v>
      </c>
      <c r="Q43" s="109">
        <f t="shared" si="7"/>
        <v>301.39999999999998</v>
      </c>
      <c r="R43" s="67" t="s">
        <v>49</v>
      </c>
      <c r="S43" s="67"/>
      <c r="T43" s="113">
        <v>105</v>
      </c>
      <c r="U43" s="113">
        <f t="shared" si="8"/>
        <v>1050</v>
      </c>
      <c r="V43" s="75"/>
    </row>
    <row r="44" spans="1:22" s="73" customFormat="1" ht="35.1" customHeight="1">
      <c r="A44" s="62" t="s">
        <v>77</v>
      </c>
      <c r="B44" s="62">
        <v>24</v>
      </c>
      <c r="C44" s="101" t="s">
        <v>87</v>
      </c>
      <c r="D44" s="102" t="s">
        <v>88</v>
      </c>
      <c r="E44" s="103" t="s">
        <v>80</v>
      </c>
      <c r="F44" s="103">
        <v>210</v>
      </c>
      <c r="G44" s="114"/>
      <c r="H44" s="115"/>
      <c r="I44" s="116"/>
      <c r="J44" s="116"/>
      <c r="K44" s="117"/>
      <c r="L44" s="118"/>
      <c r="M44" s="119"/>
      <c r="N44" s="120"/>
      <c r="O44" s="121"/>
      <c r="P44" s="122"/>
      <c r="Q44" s="119"/>
      <c r="R44" s="67" t="s">
        <v>49</v>
      </c>
      <c r="S44" s="67"/>
      <c r="T44" s="113">
        <v>111</v>
      </c>
      <c r="U44" s="113">
        <f>PRODUCT(T44,F44)</f>
        <v>23310</v>
      </c>
      <c r="V44" s="75"/>
    </row>
    <row r="45" spans="1:22" s="73" customFormat="1" ht="35.1" customHeight="1">
      <c r="A45" s="62" t="s">
        <v>77</v>
      </c>
      <c r="B45" s="62">
        <v>25</v>
      </c>
      <c r="C45" s="126" t="s">
        <v>89</v>
      </c>
      <c r="D45" s="102" t="s">
        <v>79</v>
      </c>
      <c r="E45" s="103" t="s">
        <v>80</v>
      </c>
      <c r="F45" s="103">
        <v>100</v>
      </c>
      <c r="G45" s="126">
        <v>10</v>
      </c>
      <c r="H45" s="127">
        <v>10</v>
      </c>
      <c r="I45" s="128">
        <v>40</v>
      </c>
      <c r="J45" s="128">
        <v>24.5</v>
      </c>
      <c r="K45" s="129">
        <v>30</v>
      </c>
      <c r="L45" s="130">
        <f t="shared" si="9"/>
        <v>2.9399999999999999E-2</v>
      </c>
      <c r="M45" s="67">
        <f t="shared" si="10"/>
        <v>0.29399999999999998</v>
      </c>
      <c r="N45" s="131">
        <v>9</v>
      </c>
      <c r="O45" s="132">
        <v>10.5</v>
      </c>
      <c r="P45" s="69">
        <f t="shared" si="6"/>
        <v>90</v>
      </c>
      <c r="Q45" s="67">
        <f t="shared" si="7"/>
        <v>105</v>
      </c>
      <c r="R45" s="67" t="s">
        <v>49</v>
      </c>
      <c r="S45" s="67"/>
      <c r="T45" s="113">
        <v>67</v>
      </c>
      <c r="U45" s="113">
        <f t="shared" si="8"/>
        <v>6700</v>
      </c>
      <c r="V45" s="75"/>
    </row>
    <row r="46" spans="1:22" s="73" customFormat="1" ht="35.1" customHeight="1">
      <c r="A46" s="62" t="s">
        <v>77</v>
      </c>
      <c r="B46" s="62">
        <v>26</v>
      </c>
      <c r="C46" s="126" t="s">
        <v>90</v>
      </c>
      <c r="D46" s="102" t="s">
        <v>79</v>
      </c>
      <c r="E46" s="103" t="s">
        <v>80</v>
      </c>
      <c r="F46" s="103">
        <v>100</v>
      </c>
      <c r="G46" s="126">
        <v>10</v>
      </c>
      <c r="H46" s="127">
        <v>10</v>
      </c>
      <c r="I46" s="128">
        <v>40</v>
      </c>
      <c r="J46" s="128">
        <v>24.5</v>
      </c>
      <c r="K46" s="129">
        <v>30</v>
      </c>
      <c r="L46" s="130">
        <f t="shared" si="9"/>
        <v>2.9399999999999999E-2</v>
      </c>
      <c r="M46" s="67">
        <f t="shared" si="10"/>
        <v>0.29399999999999998</v>
      </c>
      <c r="N46" s="131">
        <v>9</v>
      </c>
      <c r="O46" s="132">
        <v>10.5</v>
      </c>
      <c r="P46" s="69">
        <f t="shared" si="6"/>
        <v>90</v>
      </c>
      <c r="Q46" s="67">
        <f t="shared" si="7"/>
        <v>105</v>
      </c>
      <c r="R46" s="67" t="s">
        <v>49</v>
      </c>
      <c r="S46" s="67"/>
      <c r="T46" s="113">
        <v>71</v>
      </c>
      <c r="U46" s="113">
        <f>PRODUCT(T46,F46)</f>
        <v>7100</v>
      </c>
      <c r="V46" s="75"/>
    </row>
    <row r="47" spans="1:22" s="73" customFormat="1" ht="35.1" customHeight="1">
      <c r="A47" s="62" t="s">
        <v>77</v>
      </c>
      <c r="B47" s="62">
        <v>27</v>
      </c>
      <c r="C47" s="126" t="s">
        <v>91</v>
      </c>
      <c r="D47" s="102" t="s">
        <v>88</v>
      </c>
      <c r="E47" s="103" t="s">
        <v>80</v>
      </c>
      <c r="F47" s="103">
        <v>150</v>
      </c>
      <c r="G47" s="126">
        <v>10</v>
      </c>
      <c r="H47" s="127">
        <v>15</v>
      </c>
      <c r="I47" s="128">
        <v>34</v>
      </c>
      <c r="J47" s="128">
        <v>33.5</v>
      </c>
      <c r="K47" s="129">
        <v>37.5</v>
      </c>
      <c r="L47" s="130">
        <f t="shared" si="9"/>
        <v>4.27125E-2</v>
      </c>
      <c r="M47" s="67">
        <f t="shared" si="10"/>
        <v>0.64068749999999997</v>
      </c>
      <c r="N47" s="131">
        <v>11</v>
      </c>
      <c r="O47" s="132">
        <v>13.7</v>
      </c>
      <c r="P47" s="69">
        <f t="shared" si="6"/>
        <v>165</v>
      </c>
      <c r="Q47" s="67">
        <f t="shared" si="7"/>
        <v>205.5</v>
      </c>
      <c r="R47" s="67" t="s">
        <v>49</v>
      </c>
      <c r="S47" s="67"/>
      <c r="T47" s="113">
        <v>122</v>
      </c>
      <c r="U47" s="113">
        <f t="shared" si="8"/>
        <v>18300</v>
      </c>
      <c r="V47" s="75"/>
    </row>
    <row r="48" spans="1:22" s="73" customFormat="1" ht="35.1" customHeight="1">
      <c r="A48" s="62" t="s">
        <v>77</v>
      </c>
      <c r="B48" s="62">
        <v>28</v>
      </c>
      <c r="C48" s="101" t="s">
        <v>92</v>
      </c>
      <c r="D48" s="102" t="s">
        <v>88</v>
      </c>
      <c r="E48" s="103" t="s">
        <v>80</v>
      </c>
      <c r="F48" s="103">
        <v>50</v>
      </c>
      <c r="G48" s="126">
        <v>10</v>
      </c>
      <c r="H48" s="127">
        <v>5</v>
      </c>
      <c r="I48" s="128">
        <v>45.5</v>
      </c>
      <c r="J48" s="128">
        <v>39.5</v>
      </c>
      <c r="K48" s="129">
        <v>30</v>
      </c>
      <c r="L48" s="130">
        <f t="shared" si="9"/>
        <v>5.39175E-2</v>
      </c>
      <c r="M48" s="67">
        <f t="shared" si="10"/>
        <v>0.26958749999999998</v>
      </c>
      <c r="N48" s="131">
        <v>14</v>
      </c>
      <c r="O48" s="132">
        <v>18.2</v>
      </c>
      <c r="P48" s="69">
        <f t="shared" si="6"/>
        <v>70</v>
      </c>
      <c r="Q48" s="67">
        <f t="shared" si="7"/>
        <v>91</v>
      </c>
      <c r="R48" s="67" t="s">
        <v>49</v>
      </c>
      <c r="S48" s="67"/>
      <c r="T48" s="113">
        <v>192</v>
      </c>
      <c r="U48" s="113">
        <f t="shared" si="8"/>
        <v>9600</v>
      </c>
      <c r="V48" s="75"/>
    </row>
    <row r="49" spans="1:22" s="73" customFormat="1" ht="35.1" customHeight="1">
      <c r="A49" s="62" t="s">
        <v>77</v>
      </c>
      <c r="B49" s="62">
        <v>29</v>
      </c>
      <c r="C49" s="102" t="s">
        <v>93</v>
      </c>
      <c r="D49" s="102" t="s">
        <v>79</v>
      </c>
      <c r="E49" s="103" t="s">
        <v>80</v>
      </c>
      <c r="F49" s="103">
        <v>50</v>
      </c>
      <c r="G49" s="126">
        <v>10</v>
      </c>
      <c r="H49" s="127">
        <v>5</v>
      </c>
      <c r="I49" s="128">
        <v>34</v>
      </c>
      <c r="J49" s="128">
        <v>24</v>
      </c>
      <c r="K49" s="129">
        <v>30</v>
      </c>
      <c r="L49" s="130">
        <f t="shared" si="9"/>
        <v>2.4479999999999998E-2</v>
      </c>
      <c r="M49" s="67">
        <f t="shared" si="10"/>
        <v>0.12239999999999999</v>
      </c>
      <c r="N49" s="131">
        <v>7</v>
      </c>
      <c r="O49" s="132">
        <v>8.3000000000000007</v>
      </c>
      <c r="P49" s="69">
        <f t="shared" si="6"/>
        <v>35</v>
      </c>
      <c r="Q49" s="67">
        <f t="shared" si="7"/>
        <v>41.5</v>
      </c>
      <c r="R49" s="67" t="s">
        <v>49</v>
      </c>
      <c r="S49" s="67"/>
      <c r="T49" s="113">
        <v>52.5</v>
      </c>
      <c r="U49" s="113">
        <f t="shared" si="8"/>
        <v>2625</v>
      </c>
      <c r="V49" s="75"/>
    </row>
    <row r="50" spans="1:22" s="147" customFormat="1" ht="35.1" customHeight="1">
      <c r="A50" s="133" t="s">
        <v>77</v>
      </c>
      <c r="B50" s="133"/>
      <c r="C50" s="134" t="s">
        <v>94</v>
      </c>
      <c r="D50" s="135" t="s">
        <v>79</v>
      </c>
      <c r="E50" s="136" t="s">
        <v>80</v>
      </c>
      <c r="F50" s="136">
        <f>H50*G50</f>
        <v>100</v>
      </c>
      <c r="G50" s="137">
        <v>20</v>
      </c>
      <c r="H50" s="138">
        <v>5</v>
      </c>
      <c r="I50" s="139">
        <v>47</v>
      </c>
      <c r="J50" s="139">
        <v>34.5</v>
      </c>
      <c r="K50" s="140">
        <v>30</v>
      </c>
      <c r="L50" s="141">
        <f t="shared" si="9"/>
        <v>4.8645000000000001E-2</v>
      </c>
      <c r="M50" s="142">
        <f t="shared" si="10"/>
        <v>0.243225</v>
      </c>
      <c r="N50" s="143">
        <v>12</v>
      </c>
      <c r="O50" s="144">
        <v>13.5</v>
      </c>
      <c r="P50" s="145">
        <f t="shared" si="6"/>
        <v>60</v>
      </c>
      <c r="Q50" s="142">
        <f t="shared" si="7"/>
        <v>67.5</v>
      </c>
      <c r="R50" s="142" t="s">
        <v>49</v>
      </c>
      <c r="S50" s="142" t="s">
        <v>95</v>
      </c>
      <c r="T50" s="146"/>
      <c r="U50" s="146"/>
      <c r="V50" s="75"/>
    </row>
    <row r="51" spans="1:22" s="73" customFormat="1" ht="35.1" customHeight="1">
      <c r="A51" s="62" t="s">
        <v>77</v>
      </c>
      <c r="B51" s="62">
        <v>31</v>
      </c>
      <c r="C51" s="123" t="s">
        <v>96</v>
      </c>
      <c r="D51" s="102" t="s">
        <v>79</v>
      </c>
      <c r="E51" s="103" t="s">
        <v>80</v>
      </c>
      <c r="F51" s="103">
        <v>200</v>
      </c>
      <c r="G51" s="126">
        <v>10</v>
      </c>
      <c r="H51" s="127">
        <v>20</v>
      </c>
      <c r="I51" s="128">
        <v>34</v>
      </c>
      <c r="J51" s="128">
        <v>24</v>
      </c>
      <c r="K51" s="129">
        <v>30</v>
      </c>
      <c r="L51" s="130">
        <f t="shared" si="9"/>
        <v>2.4479999999999998E-2</v>
      </c>
      <c r="M51" s="67">
        <f t="shared" si="10"/>
        <v>0.48959999999999998</v>
      </c>
      <c r="N51" s="131">
        <v>6.8</v>
      </c>
      <c r="O51" s="132">
        <v>8.3000000000000007</v>
      </c>
      <c r="P51" s="69">
        <f t="shared" si="6"/>
        <v>136</v>
      </c>
      <c r="Q51" s="67">
        <f t="shared" si="7"/>
        <v>166</v>
      </c>
      <c r="R51" s="67" t="s">
        <v>49</v>
      </c>
      <c r="S51" s="67"/>
      <c r="T51" s="113">
        <v>90</v>
      </c>
      <c r="U51" s="113">
        <f t="shared" si="8"/>
        <v>18000</v>
      </c>
      <c r="V51" s="75"/>
    </row>
    <row r="52" spans="1:22" s="73" customFormat="1" ht="35.1" customHeight="1">
      <c r="A52" s="62" t="s">
        <v>77</v>
      </c>
      <c r="B52" s="62">
        <v>32</v>
      </c>
      <c r="C52" s="101" t="s">
        <v>97</v>
      </c>
      <c r="D52" s="102" t="s">
        <v>79</v>
      </c>
      <c r="E52" s="103" t="s">
        <v>80</v>
      </c>
      <c r="F52" s="103">
        <v>500</v>
      </c>
      <c r="G52" s="126">
        <v>20</v>
      </c>
      <c r="H52" s="127">
        <v>25</v>
      </c>
      <c r="I52" s="128">
        <v>47</v>
      </c>
      <c r="J52" s="128">
        <v>34.5</v>
      </c>
      <c r="K52" s="129">
        <v>30</v>
      </c>
      <c r="L52" s="130">
        <f t="shared" si="9"/>
        <v>4.8645000000000001E-2</v>
      </c>
      <c r="M52" s="67">
        <f t="shared" si="10"/>
        <v>1.2161250000000001</v>
      </c>
      <c r="N52" s="131">
        <v>12</v>
      </c>
      <c r="O52" s="132">
        <v>13.5</v>
      </c>
      <c r="P52" s="69">
        <f t="shared" si="6"/>
        <v>300</v>
      </c>
      <c r="Q52" s="67">
        <f t="shared" si="7"/>
        <v>337.5</v>
      </c>
      <c r="R52" s="67" t="s">
        <v>49</v>
      </c>
      <c r="S52" s="67"/>
      <c r="T52" s="113">
        <v>55</v>
      </c>
      <c r="U52" s="113">
        <f t="shared" si="8"/>
        <v>27500</v>
      </c>
      <c r="V52" s="75"/>
    </row>
    <row r="53" spans="1:22" s="73" customFormat="1" ht="35.1" customHeight="1">
      <c r="A53" s="62" t="s">
        <v>77</v>
      </c>
      <c r="B53" s="62">
        <v>33</v>
      </c>
      <c r="C53" s="123" t="s">
        <v>98</v>
      </c>
      <c r="D53" s="102" t="s">
        <v>79</v>
      </c>
      <c r="E53" s="103" t="s">
        <v>80</v>
      </c>
      <c r="F53" s="103">
        <v>420</v>
      </c>
      <c r="G53" s="126">
        <v>20</v>
      </c>
      <c r="H53" s="127">
        <v>21</v>
      </c>
      <c r="I53" s="128">
        <v>47</v>
      </c>
      <c r="J53" s="128">
        <v>34.5</v>
      </c>
      <c r="K53" s="129">
        <v>30</v>
      </c>
      <c r="L53" s="130">
        <f t="shared" si="9"/>
        <v>4.8645000000000001E-2</v>
      </c>
      <c r="M53" s="67">
        <f t="shared" si="10"/>
        <v>1.0215449999999999</v>
      </c>
      <c r="N53" s="131">
        <v>12</v>
      </c>
      <c r="O53" s="132">
        <v>13.5</v>
      </c>
      <c r="P53" s="69">
        <f t="shared" si="6"/>
        <v>252</v>
      </c>
      <c r="Q53" s="67">
        <f t="shared" si="7"/>
        <v>283.5</v>
      </c>
      <c r="R53" s="67" t="s">
        <v>49</v>
      </c>
      <c r="S53" s="67"/>
      <c r="T53" s="113">
        <v>57.5</v>
      </c>
      <c r="U53" s="113">
        <f t="shared" si="8"/>
        <v>24150</v>
      </c>
      <c r="V53" s="75"/>
    </row>
    <row r="54" spans="1:22" s="73" customFormat="1" ht="35.1" customHeight="1">
      <c r="A54" s="62" t="s">
        <v>77</v>
      </c>
      <c r="B54" s="62">
        <v>34</v>
      </c>
      <c r="C54" s="123" t="s">
        <v>98</v>
      </c>
      <c r="D54" s="102" t="s">
        <v>79</v>
      </c>
      <c r="E54" s="103" t="s">
        <v>80</v>
      </c>
      <c r="F54" s="103">
        <v>10</v>
      </c>
      <c r="G54" s="126">
        <v>10</v>
      </c>
      <c r="H54" s="127">
        <v>1</v>
      </c>
      <c r="I54" s="128">
        <v>34</v>
      </c>
      <c r="J54" s="128">
        <v>24</v>
      </c>
      <c r="K54" s="129">
        <v>30</v>
      </c>
      <c r="L54" s="130">
        <f t="shared" si="9"/>
        <v>2.4479999999999998E-2</v>
      </c>
      <c r="M54" s="67">
        <f t="shared" si="10"/>
        <v>2.4479999999999998E-2</v>
      </c>
      <c r="N54" s="131">
        <v>6.8</v>
      </c>
      <c r="O54" s="132">
        <v>7.5</v>
      </c>
      <c r="P54" s="69">
        <f t="shared" si="6"/>
        <v>6.8</v>
      </c>
      <c r="Q54" s="67">
        <f t="shared" si="7"/>
        <v>7.5</v>
      </c>
      <c r="R54" s="67" t="s">
        <v>49</v>
      </c>
      <c r="S54" s="67"/>
      <c r="T54" s="113">
        <v>57.5</v>
      </c>
      <c r="U54" s="113">
        <f t="shared" si="8"/>
        <v>575</v>
      </c>
      <c r="V54" s="75"/>
    </row>
    <row r="55" spans="1:22" s="73" customFormat="1" ht="35.1" customHeight="1">
      <c r="A55" s="62" t="s">
        <v>77</v>
      </c>
      <c r="B55" s="62">
        <v>35</v>
      </c>
      <c r="C55" s="102" t="s">
        <v>99</v>
      </c>
      <c r="D55" s="125" t="s">
        <v>100</v>
      </c>
      <c r="E55" s="148" t="s">
        <v>80</v>
      </c>
      <c r="F55" s="103">
        <v>9</v>
      </c>
      <c r="G55" s="101">
        <v>3</v>
      </c>
      <c r="H55" s="149">
        <v>3</v>
      </c>
      <c r="I55" s="128">
        <v>81.5</v>
      </c>
      <c r="J55" s="128">
        <v>34.5</v>
      </c>
      <c r="K55" s="129">
        <v>40</v>
      </c>
      <c r="L55" s="130">
        <f t="shared" si="9"/>
        <v>0.11247</v>
      </c>
      <c r="M55" s="67">
        <f t="shared" si="10"/>
        <v>0.33740999999999999</v>
      </c>
      <c r="N55" s="131">
        <v>11</v>
      </c>
      <c r="O55" s="132">
        <v>14</v>
      </c>
      <c r="P55" s="69">
        <f t="shared" si="6"/>
        <v>33</v>
      </c>
      <c r="Q55" s="67">
        <f t="shared" si="7"/>
        <v>42</v>
      </c>
      <c r="R55" s="67" t="s">
        <v>49</v>
      </c>
      <c r="S55" s="67"/>
      <c r="T55" s="113">
        <v>620</v>
      </c>
      <c r="U55" s="113">
        <f t="shared" si="8"/>
        <v>5580</v>
      </c>
      <c r="V55" s="75"/>
    </row>
    <row r="56" spans="1:22" s="73" customFormat="1" ht="35.1" customHeight="1">
      <c r="A56" s="62" t="s">
        <v>77</v>
      </c>
      <c r="B56" s="62">
        <v>36</v>
      </c>
      <c r="C56" s="101" t="s">
        <v>101</v>
      </c>
      <c r="D56" s="125" t="s">
        <v>102</v>
      </c>
      <c r="E56" s="103" t="s">
        <v>80</v>
      </c>
      <c r="F56" s="103">
        <v>10</v>
      </c>
      <c r="G56" s="126">
        <v>10</v>
      </c>
      <c r="H56" s="127">
        <v>1</v>
      </c>
      <c r="I56" s="128">
        <v>53</v>
      </c>
      <c r="J56" s="128">
        <v>47</v>
      </c>
      <c r="K56" s="129">
        <v>40</v>
      </c>
      <c r="L56" s="130">
        <f t="shared" si="9"/>
        <v>9.9640000000000006E-2</v>
      </c>
      <c r="M56" s="67">
        <f t="shared" si="10"/>
        <v>9.9640000000000006E-2</v>
      </c>
      <c r="N56" s="131">
        <v>10</v>
      </c>
      <c r="O56" s="132">
        <v>11</v>
      </c>
      <c r="P56" s="69">
        <f t="shared" si="6"/>
        <v>10</v>
      </c>
      <c r="Q56" s="67">
        <f t="shared" si="7"/>
        <v>11</v>
      </c>
      <c r="R56" s="67" t="s">
        <v>49</v>
      </c>
      <c r="S56" s="67"/>
      <c r="T56" s="113">
        <v>55.5</v>
      </c>
      <c r="U56" s="113">
        <f t="shared" si="8"/>
        <v>555</v>
      </c>
      <c r="V56" s="75"/>
    </row>
    <row r="57" spans="1:22" s="84" customFormat="1" ht="20.100000000000001" customHeight="1">
      <c r="A57" s="150"/>
      <c r="B57" s="150"/>
      <c r="C57" s="151"/>
      <c r="D57" s="152"/>
      <c r="E57" s="153"/>
      <c r="F57" s="153">
        <f>SUM(F36:F56)</f>
        <v>3519</v>
      </c>
      <c r="G57" s="153">
        <f>SUM(G36:G56)</f>
        <v>303</v>
      </c>
      <c r="H57" s="154">
        <f>SUM(H36:H56)</f>
        <v>261</v>
      </c>
      <c r="I57" s="153"/>
      <c r="J57" s="153"/>
      <c r="K57" s="153"/>
      <c r="L57" s="153"/>
      <c r="M57" s="155">
        <f>SUM(M36:M56)</f>
        <v>8.6032952500000004</v>
      </c>
      <c r="N57" s="153"/>
      <c r="O57" s="153"/>
      <c r="P57" s="155">
        <f>SUM(P36:P56)</f>
        <v>2397.8000000000002</v>
      </c>
      <c r="Q57" s="155">
        <f>SUM(Q36:Q56)</f>
        <v>2837.5</v>
      </c>
      <c r="R57" s="153"/>
      <c r="S57" s="153"/>
      <c r="T57" s="155"/>
      <c r="U57" s="155">
        <f>SUM(U36:U56)</f>
        <v>239975</v>
      </c>
      <c r="V57" s="155">
        <f>SUM(V36:V56)</f>
        <v>239975</v>
      </c>
    </row>
    <row r="58" spans="1:22" s="73" customFormat="1" ht="35.1" customHeight="1">
      <c r="A58" s="95" t="s">
        <v>103</v>
      </c>
      <c r="B58" s="62">
        <v>37</v>
      </c>
      <c r="C58" s="101" t="s">
        <v>104</v>
      </c>
      <c r="D58" s="125" t="s">
        <v>105</v>
      </c>
      <c r="E58" s="148" t="s">
        <v>80</v>
      </c>
      <c r="F58" s="103">
        <v>150</v>
      </c>
      <c r="G58" s="126">
        <v>10</v>
      </c>
      <c r="H58" s="127">
        <v>15</v>
      </c>
      <c r="I58" s="128">
        <v>45.5</v>
      </c>
      <c r="J58" s="128">
        <v>39.5</v>
      </c>
      <c r="K58" s="129">
        <v>30</v>
      </c>
      <c r="L58" s="129">
        <f>I58*J58*K58/1000000</f>
        <v>5.39175E-2</v>
      </c>
      <c r="M58" s="67">
        <f>L58*H58</f>
        <v>0.80876250000000005</v>
      </c>
      <c r="N58" s="131">
        <v>7.5</v>
      </c>
      <c r="O58" s="132">
        <v>8.5</v>
      </c>
      <c r="P58" s="69">
        <f>H58*N58</f>
        <v>112.5</v>
      </c>
      <c r="Q58" s="67">
        <f>O58*H58</f>
        <v>127.5</v>
      </c>
      <c r="R58" s="67" t="s">
        <v>65</v>
      </c>
      <c r="S58" s="67"/>
      <c r="T58" s="113">
        <v>98</v>
      </c>
      <c r="U58" s="113">
        <f t="shared" si="8"/>
        <v>14700</v>
      </c>
      <c r="V58" s="72">
        <f>SUM(U58:U60)</f>
        <v>34950</v>
      </c>
    </row>
    <row r="59" spans="1:22" s="73" customFormat="1" ht="35.1" customHeight="1">
      <c r="A59" s="95" t="s">
        <v>103</v>
      </c>
      <c r="B59" s="62">
        <v>38</v>
      </c>
      <c r="C59" s="101" t="s">
        <v>106</v>
      </c>
      <c r="D59" s="125" t="s">
        <v>107</v>
      </c>
      <c r="E59" s="148" t="s">
        <v>80</v>
      </c>
      <c r="F59" s="103">
        <v>100</v>
      </c>
      <c r="G59" s="126">
        <v>10</v>
      </c>
      <c r="H59" s="127">
        <v>10</v>
      </c>
      <c r="I59" s="128">
        <v>45.5</v>
      </c>
      <c r="J59" s="128">
        <v>39.5</v>
      </c>
      <c r="K59" s="129">
        <v>30</v>
      </c>
      <c r="L59" s="129">
        <f>I59*J59*K59/1000000</f>
        <v>5.39175E-2</v>
      </c>
      <c r="M59" s="67">
        <f>L59*H59</f>
        <v>0.53917499999999996</v>
      </c>
      <c r="N59" s="131">
        <v>7.5</v>
      </c>
      <c r="O59" s="132">
        <v>8.5</v>
      </c>
      <c r="P59" s="69">
        <f>H59*N59</f>
        <v>75</v>
      </c>
      <c r="Q59" s="67">
        <f>O59*H59</f>
        <v>85</v>
      </c>
      <c r="R59" s="67" t="s">
        <v>65</v>
      </c>
      <c r="S59" s="67"/>
      <c r="T59" s="113">
        <v>91.5</v>
      </c>
      <c r="U59" s="113">
        <f t="shared" si="8"/>
        <v>9150</v>
      </c>
      <c r="V59" s="75"/>
    </row>
    <row r="60" spans="1:22" s="73" customFormat="1" ht="35.1" customHeight="1">
      <c r="A60" s="95" t="s">
        <v>103</v>
      </c>
      <c r="B60" s="62">
        <v>39</v>
      </c>
      <c r="C60" s="102" t="s">
        <v>108</v>
      </c>
      <c r="D60" s="125" t="s">
        <v>109</v>
      </c>
      <c r="E60" s="103" t="s">
        <v>80</v>
      </c>
      <c r="F60" s="103">
        <v>200</v>
      </c>
      <c r="G60" s="126">
        <v>20</v>
      </c>
      <c r="H60" s="127">
        <v>10</v>
      </c>
      <c r="I60" s="128">
        <v>47</v>
      </c>
      <c r="J60" s="128">
        <v>35</v>
      </c>
      <c r="K60" s="129">
        <v>24</v>
      </c>
      <c r="L60" s="129">
        <f>I60*J60*K60/1000000</f>
        <v>3.9480000000000001E-2</v>
      </c>
      <c r="M60" s="67">
        <f>L60*H60</f>
        <v>0.39480000000000004</v>
      </c>
      <c r="N60" s="131">
        <v>15</v>
      </c>
      <c r="O60" s="132">
        <v>16</v>
      </c>
      <c r="P60" s="69">
        <f>H60*N60</f>
        <v>150</v>
      </c>
      <c r="Q60" s="67">
        <f>O60*H60</f>
        <v>160</v>
      </c>
      <c r="R60" s="67" t="s">
        <v>65</v>
      </c>
      <c r="S60" s="67"/>
      <c r="T60" s="113">
        <v>55.5</v>
      </c>
      <c r="U60" s="113">
        <f t="shared" si="8"/>
        <v>11100</v>
      </c>
      <c r="V60" s="156"/>
    </row>
    <row r="61" spans="1:22" s="84" customFormat="1" ht="20.100000000000001" customHeight="1">
      <c r="A61" s="150"/>
      <c r="B61" s="150"/>
      <c r="C61" s="157"/>
      <c r="D61" s="157"/>
      <c r="E61" s="157"/>
      <c r="F61" s="157">
        <f>SUM(F58:F60)</f>
        <v>450</v>
      </c>
      <c r="G61" s="157">
        <f>SUM(G58:G60)</f>
        <v>40</v>
      </c>
      <c r="H61" s="157">
        <f>SUM(H58:H60)</f>
        <v>35</v>
      </c>
      <c r="I61" s="157"/>
      <c r="J61" s="157"/>
      <c r="K61" s="157"/>
      <c r="L61" s="157"/>
      <c r="M61" s="158">
        <f>SUM(M58:M60)</f>
        <v>1.7427375000000001</v>
      </c>
      <c r="N61" s="157"/>
      <c r="O61" s="157"/>
      <c r="P61" s="158">
        <f>SUM(P58:P60)</f>
        <v>337.5</v>
      </c>
      <c r="Q61" s="158">
        <f>SUM(Q58:Q60)</f>
        <v>372.5</v>
      </c>
      <c r="R61" s="157"/>
      <c r="S61" s="157"/>
      <c r="T61" s="159"/>
      <c r="U61" s="160">
        <f>SUM(U58)</f>
        <v>14700</v>
      </c>
      <c r="V61" s="160">
        <f>SUM(V58)</f>
        <v>34950</v>
      </c>
    </row>
    <row r="62" spans="1:22" s="73" customFormat="1" ht="35.1" customHeight="1">
      <c r="A62" s="95" t="s">
        <v>110</v>
      </c>
      <c r="B62" s="62">
        <v>40</v>
      </c>
      <c r="C62" s="161" t="s">
        <v>111</v>
      </c>
      <c r="D62" s="125" t="s">
        <v>112</v>
      </c>
      <c r="E62" s="125" t="s">
        <v>113</v>
      </c>
      <c r="F62" s="162">
        <v>2</v>
      </c>
      <c r="G62" s="163">
        <v>1</v>
      </c>
      <c r="H62" s="162">
        <v>2</v>
      </c>
      <c r="I62" s="164">
        <v>163</v>
      </c>
      <c r="J62" s="164">
        <v>163</v>
      </c>
      <c r="K62" s="164">
        <v>73</v>
      </c>
      <c r="L62" s="165">
        <f>I62*J62*K62/1000000</f>
        <v>1.9395370000000001</v>
      </c>
      <c r="M62" s="165">
        <f>L62*H62</f>
        <v>3.8790740000000001</v>
      </c>
      <c r="N62" s="131">
        <v>93</v>
      </c>
      <c r="O62" s="131">
        <v>103</v>
      </c>
      <c r="P62" s="166">
        <f>N62*H62</f>
        <v>186</v>
      </c>
      <c r="Q62" s="165">
        <f>O62*H62</f>
        <v>206</v>
      </c>
      <c r="R62" s="67" t="s">
        <v>114</v>
      </c>
      <c r="S62" s="68"/>
      <c r="T62" s="71">
        <v>2550</v>
      </c>
      <c r="U62" s="71">
        <f>T62*F62</f>
        <v>5100</v>
      </c>
      <c r="V62" s="167">
        <f>SUM(U62:U62)</f>
        <v>5100</v>
      </c>
    </row>
    <row r="63" spans="1:22" s="73" customFormat="1" ht="20.100000000000001" customHeight="1">
      <c r="A63" s="168"/>
      <c r="B63" s="150"/>
      <c r="C63" s="152"/>
      <c r="D63" s="152"/>
      <c r="E63" s="152"/>
      <c r="F63" s="169">
        <f>SUM(F62:F62)</f>
        <v>2</v>
      </c>
      <c r="G63" s="169">
        <f>SUM(G62:G62)</f>
        <v>1</v>
      </c>
      <c r="H63" s="169">
        <f>SUM(H62:H62)</f>
        <v>2</v>
      </c>
      <c r="I63" s="169"/>
      <c r="J63" s="169"/>
      <c r="K63" s="169"/>
      <c r="L63" s="169"/>
      <c r="M63" s="170">
        <f>SUM(M62:M62)</f>
        <v>3.8790740000000001</v>
      </c>
      <c r="N63" s="169"/>
      <c r="O63" s="169"/>
      <c r="P63" s="170">
        <f>SUM(P62:P62)</f>
        <v>186</v>
      </c>
      <c r="Q63" s="170">
        <f>SUM(Q62:Q62)</f>
        <v>206</v>
      </c>
      <c r="R63" s="169"/>
      <c r="S63" s="169"/>
      <c r="T63" s="169"/>
      <c r="U63" s="170">
        <f>SUM(U62:U62)</f>
        <v>5100</v>
      </c>
      <c r="V63" s="170">
        <f>SUM(V62:V62)</f>
        <v>5100</v>
      </c>
    </row>
    <row r="64" spans="1:22" s="73" customFormat="1" ht="35.1" customHeight="1">
      <c r="A64" s="95" t="s">
        <v>115</v>
      </c>
      <c r="B64" s="62">
        <v>41</v>
      </c>
      <c r="C64" s="102" t="s">
        <v>116</v>
      </c>
      <c r="D64" s="125" t="s">
        <v>112</v>
      </c>
      <c r="E64" s="125" t="s">
        <v>113</v>
      </c>
      <c r="F64" s="162">
        <v>3</v>
      </c>
      <c r="G64" s="162">
        <v>1</v>
      </c>
      <c r="H64" s="162">
        <v>3</v>
      </c>
      <c r="I64" s="164">
        <v>175</v>
      </c>
      <c r="J64" s="164">
        <v>85</v>
      </c>
      <c r="K64" s="164">
        <v>63</v>
      </c>
      <c r="L64" s="171">
        <f>I64*J64*K64/10^6</f>
        <v>0.93712499999999999</v>
      </c>
      <c r="M64" s="165">
        <f>L64*H64</f>
        <v>2.811375</v>
      </c>
      <c r="N64" s="131">
        <v>47</v>
      </c>
      <c r="O64" s="131">
        <v>57</v>
      </c>
      <c r="P64" s="166">
        <f>N64*H64</f>
        <v>141</v>
      </c>
      <c r="Q64" s="165">
        <f>O64*H64</f>
        <v>171</v>
      </c>
      <c r="R64" s="67" t="s">
        <v>49</v>
      </c>
      <c r="S64" s="68"/>
      <c r="T64" s="71">
        <v>1330</v>
      </c>
      <c r="U64" s="71">
        <f>T64*F64</f>
        <v>3990</v>
      </c>
      <c r="V64" s="167">
        <f>SUM(U64:U64)</f>
        <v>3990</v>
      </c>
    </row>
    <row r="65" spans="1:22" s="84" customFormat="1" ht="20.100000000000001" customHeight="1">
      <c r="A65" s="77"/>
      <c r="B65" s="78"/>
      <c r="C65" s="78"/>
      <c r="D65" s="172"/>
      <c r="E65" s="83"/>
      <c r="F65" s="100">
        <f>SUM(F64:F64)</f>
        <v>3</v>
      </c>
      <c r="G65" s="100">
        <f>SUM(G64:G64)</f>
        <v>1</v>
      </c>
      <c r="H65" s="100">
        <f>SUM(H64:H64)</f>
        <v>3</v>
      </c>
      <c r="I65" s="100"/>
      <c r="J65" s="100"/>
      <c r="K65" s="100"/>
      <c r="L65" s="173"/>
      <c r="M65" s="83">
        <f>SUM(M64:M64)</f>
        <v>2.811375</v>
      </c>
      <c r="N65" s="100"/>
      <c r="O65" s="100"/>
      <c r="P65" s="83">
        <f>SUM(P64:P64)</f>
        <v>141</v>
      </c>
      <c r="Q65" s="83">
        <f>SUM(Q64:Q64)</f>
        <v>171</v>
      </c>
      <c r="R65" s="100"/>
      <c r="S65" s="100"/>
      <c r="T65" s="83"/>
      <c r="U65" s="83">
        <f>SUM(U64:U64)</f>
        <v>3990</v>
      </c>
      <c r="V65" s="83">
        <f>SUM(V64)</f>
        <v>3990</v>
      </c>
    </row>
    <row r="66" spans="1:22" s="73" customFormat="1" ht="35.1" customHeight="1">
      <c r="A66" s="95" t="s">
        <v>117</v>
      </c>
      <c r="B66" s="174">
        <v>42</v>
      </c>
      <c r="C66" s="101" t="s">
        <v>118</v>
      </c>
      <c r="D66" s="102" t="s">
        <v>119</v>
      </c>
      <c r="E66" s="103" t="s">
        <v>120</v>
      </c>
      <c r="F66" s="103">
        <v>73</v>
      </c>
      <c r="G66" s="175"/>
      <c r="H66" s="103">
        <v>73</v>
      </c>
      <c r="I66" s="176">
        <v>63</v>
      </c>
      <c r="J66" s="176">
        <v>52</v>
      </c>
      <c r="K66" s="177">
        <v>48</v>
      </c>
      <c r="L66" s="171">
        <f>I66*J66*K66/10^6</f>
        <v>0.157248</v>
      </c>
      <c r="M66" s="67">
        <f>L66*H66</f>
        <v>11.479104</v>
      </c>
      <c r="N66" s="178">
        <v>5.25</v>
      </c>
      <c r="O66" s="178">
        <v>5.4</v>
      </c>
      <c r="P66" s="69">
        <f t="shared" ref="P66:P74" si="11">N66*H66</f>
        <v>383.25</v>
      </c>
      <c r="Q66" s="67">
        <f t="shared" ref="Q66:Q74" si="12">O66*H66</f>
        <v>394.20000000000005</v>
      </c>
      <c r="R66" s="67" t="s">
        <v>49</v>
      </c>
      <c r="S66" s="179" t="s">
        <v>121</v>
      </c>
      <c r="T66" s="180">
        <f>237.2+17.4+60</f>
        <v>314.60000000000002</v>
      </c>
      <c r="U66" s="180">
        <f>T66*F66</f>
        <v>22965.800000000003</v>
      </c>
      <c r="V66" s="72">
        <f>SUM(U66:U78)</f>
        <v>64703.520000000004</v>
      </c>
    </row>
    <row r="67" spans="1:22" s="73" customFormat="1" ht="35.1" customHeight="1">
      <c r="A67" s="95" t="s">
        <v>117</v>
      </c>
      <c r="B67" s="174">
        <v>43</v>
      </c>
      <c r="C67" s="101" t="s">
        <v>122</v>
      </c>
      <c r="D67" s="102" t="s">
        <v>123</v>
      </c>
      <c r="E67" s="103" t="s">
        <v>124</v>
      </c>
      <c r="F67" s="103">
        <v>43</v>
      </c>
      <c r="G67" s="175"/>
      <c r="H67" s="103">
        <v>43</v>
      </c>
      <c r="I67" s="176">
        <v>63</v>
      </c>
      <c r="J67" s="176">
        <v>50</v>
      </c>
      <c r="K67" s="177">
        <v>48</v>
      </c>
      <c r="L67" s="171">
        <f t="shared" ref="L67:L74" si="13">I67*J67*K67/10^6</f>
        <v>0.1512</v>
      </c>
      <c r="M67" s="67">
        <f t="shared" ref="M67:M74" si="14">L67*H67</f>
        <v>6.5015999999999998</v>
      </c>
      <c r="N67" s="178">
        <v>5.25</v>
      </c>
      <c r="O67" s="178">
        <v>5.4</v>
      </c>
      <c r="P67" s="69">
        <f t="shared" si="11"/>
        <v>225.75</v>
      </c>
      <c r="Q67" s="67">
        <f t="shared" si="12"/>
        <v>232.20000000000002</v>
      </c>
      <c r="R67" s="67" t="s">
        <v>49</v>
      </c>
      <c r="S67" s="179" t="s">
        <v>121</v>
      </c>
      <c r="T67" s="180">
        <f>168+12.3+8</f>
        <v>188.3</v>
      </c>
      <c r="U67" s="180">
        <f t="shared" ref="U67:U78" si="15">T67*F67</f>
        <v>8096.9000000000005</v>
      </c>
      <c r="V67" s="75"/>
    </row>
    <row r="68" spans="1:22" s="73" customFormat="1" ht="35.1" customHeight="1">
      <c r="A68" s="95" t="s">
        <v>117</v>
      </c>
      <c r="B68" s="174">
        <v>43</v>
      </c>
      <c r="C68" s="101" t="s">
        <v>122</v>
      </c>
      <c r="D68" s="102" t="s">
        <v>123</v>
      </c>
      <c r="E68" s="103" t="s">
        <v>124</v>
      </c>
      <c r="F68" s="103">
        <v>57</v>
      </c>
      <c r="G68" s="175"/>
      <c r="H68" s="103">
        <v>57</v>
      </c>
      <c r="I68" s="176">
        <v>63</v>
      </c>
      <c r="J68" s="176">
        <v>50</v>
      </c>
      <c r="K68" s="177">
        <v>48</v>
      </c>
      <c r="L68" s="171">
        <f>I68*J68*K68/10^6</f>
        <v>0.1512</v>
      </c>
      <c r="M68" s="67">
        <f>L68*H68</f>
        <v>8.6183999999999994</v>
      </c>
      <c r="N68" s="178">
        <v>5.25</v>
      </c>
      <c r="O68" s="178">
        <v>5.4</v>
      </c>
      <c r="P68" s="69">
        <f t="shared" si="11"/>
        <v>299.25</v>
      </c>
      <c r="Q68" s="67">
        <f t="shared" si="12"/>
        <v>307.8</v>
      </c>
      <c r="R68" s="67" t="s">
        <v>49</v>
      </c>
      <c r="S68" s="179" t="s">
        <v>121</v>
      </c>
      <c r="T68" s="180">
        <f>168+12.3+8.2</f>
        <v>188.5</v>
      </c>
      <c r="U68" s="180">
        <f>T68*F68</f>
        <v>10744.5</v>
      </c>
      <c r="V68" s="75"/>
    </row>
    <row r="69" spans="1:22" s="73" customFormat="1" ht="35.1" customHeight="1">
      <c r="A69" s="95" t="s">
        <v>117</v>
      </c>
      <c r="B69" s="174">
        <v>43</v>
      </c>
      <c r="C69" s="101" t="s">
        <v>125</v>
      </c>
      <c r="D69" s="102" t="s">
        <v>126</v>
      </c>
      <c r="E69" s="103" t="s">
        <v>127</v>
      </c>
      <c r="F69" s="103">
        <v>4</v>
      </c>
      <c r="G69" s="175"/>
      <c r="H69" s="103">
        <v>4</v>
      </c>
      <c r="I69" s="181">
        <v>64</v>
      </c>
      <c r="J69" s="181">
        <v>53</v>
      </c>
      <c r="K69" s="181">
        <v>48</v>
      </c>
      <c r="L69" s="171">
        <f t="shared" si="13"/>
        <v>0.16281599999999999</v>
      </c>
      <c r="M69" s="67">
        <f t="shared" si="14"/>
        <v>0.65126399999999995</v>
      </c>
      <c r="N69" s="178">
        <v>0.16</v>
      </c>
      <c r="O69" s="178">
        <v>0.18</v>
      </c>
      <c r="P69" s="69">
        <f t="shared" si="11"/>
        <v>0.64</v>
      </c>
      <c r="Q69" s="67">
        <f t="shared" si="12"/>
        <v>0.72</v>
      </c>
      <c r="R69" s="67" t="s">
        <v>128</v>
      </c>
      <c r="S69" s="182" t="s">
        <v>129</v>
      </c>
      <c r="T69" s="71">
        <v>333</v>
      </c>
      <c r="U69" s="71">
        <f t="shared" si="15"/>
        <v>1332</v>
      </c>
      <c r="V69" s="75"/>
    </row>
    <row r="70" spans="1:22" s="73" customFormat="1" ht="35.1" customHeight="1">
      <c r="A70" s="95" t="s">
        <v>117</v>
      </c>
      <c r="B70" s="174">
        <v>43</v>
      </c>
      <c r="C70" s="101" t="s">
        <v>130</v>
      </c>
      <c r="D70" s="102" t="s">
        <v>131</v>
      </c>
      <c r="E70" s="103" t="s">
        <v>132</v>
      </c>
      <c r="F70" s="103">
        <v>205</v>
      </c>
      <c r="G70" s="175"/>
      <c r="H70" s="103">
        <v>6</v>
      </c>
      <c r="I70" s="181">
        <v>66.5</v>
      </c>
      <c r="J70" s="181">
        <v>41.5</v>
      </c>
      <c r="K70" s="181">
        <v>27</v>
      </c>
      <c r="L70" s="171">
        <f t="shared" si="13"/>
        <v>7.4513250000000003E-2</v>
      </c>
      <c r="M70" s="67">
        <f t="shared" si="14"/>
        <v>0.44707950000000002</v>
      </c>
      <c r="N70" s="178"/>
      <c r="O70" s="178"/>
      <c r="P70" s="69">
        <f t="shared" si="11"/>
        <v>0</v>
      </c>
      <c r="Q70" s="67">
        <f t="shared" si="12"/>
        <v>0</v>
      </c>
      <c r="R70" s="67" t="s">
        <v>49</v>
      </c>
      <c r="S70" s="179" t="s">
        <v>121</v>
      </c>
      <c r="T70" s="180">
        <v>44.8</v>
      </c>
      <c r="U70" s="180">
        <f t="shared" si="15"/>
        <v>9184</v>
      </c>
      <c r="V70" s="75"/>
    </row>
    <row r="71" spans="1:22" s="73" customFormat="1" ht="35.1" customHeight="1">
      <c r="A71" s="95" t="s">
        <v>117</v>
      </c>
      <c r="B71" s="174">
        <v>43</v>
      </c>
      <c r="C71" s="101" t="s">
        <v>133</v>
      </c>
      <c r="D71" s="102" t="s">
        <v>131</v>
      </c>
      <c r="E71" s="103" t="s">
        <v>132</v>
      </c>
      <c r="F71" s="103">
        <v>636</v>
      </c>
      <c r="G71" s="175"/>
      <c r="H71" s="103">
        <v>16</v>
      </c>
      <c r="I71" s="181">
        <v>66</v>
      </c>
      <c r="J71" s="181">
        <v>50</v>
      </c>
      <c r="K71" s="181">
        <v>27.5</v>
      </c>
      <c r="L71" s="171">
        <f t="shared" si="13"/>
        <v>9.0749999999999997E-2</v>
      </c>
      <c r="M71" s="67">
        <f t="shared" si="14"/>
        <v>1.452</v>
      </c>
      <c r="N71" s="178"/>
      <c r="O71" s="178"/>
      <c r="P71" s="69">
        <f t="shared" si="11"/>
        <v>0</v>
      </c>
      <c r="Q71" s="67">
        <f t="shared" si="12"/>
        <v>0</v>
      </c>
      <c r="R71" s="67" t="s">
        <v>134</v>
      </c>
      <c r="S71" s="179" t="s">
        <v>121</v>
      </c>
      <c r="T71" s="180">
        <v>14.5</v>
      </c>
      <c r="U71" s="180">
        <f t="shared" si="15"/>
        <v>9222</v>
      </c>
      <c r="V71" s="75"/>
    </row>
    <row r="72" spans="1:22" s="73" customFormat="1" ht="35.1" customHeight="1">
      <c r="A72" s="95" t="s">
        <v>117</v>
      </c>
      <c r="B72" s="174">
        <v>43</v>
      </c>
      <c r="C72" s="101" t="s">
        <v>135</v>
      </c>
      <c r="D72" s="102" t="s">
        <v>131</v>
      </c>
      <c r="E72" s="103" t="s">
        <v>132</v>
      </c>
      <c r="F72" s="103">
        <v>25</v>
      </c>
      <c r="G72" s="175"/>
      <c r="H72" s="103">
        <v>3</v>
      </c>
      <c r="I72" s="181">
        <v>35</v>
      </c>
      <c r="J72" s="181">
        <v>24.5</v>
      </c>
      <c r="K72" s="181">
        <v>30.5</v>
      </c>
      <c r="L72" s="171">
        <f t="shared" si="13"/>
        <v>2.615375E-2</v>
      </c>
      <c r="M72" s="67">
        <f t="shared" si="14"/>
        <v>7.8461249999999996E-2</v>
      </c>
      <c r="N72" s="178"/>
      <c r="O72" s="178"/>
      <c r="P72" s="69">
        <f t="shared" si="11"/>
        <v>0</v>
      </c>
      <c r="Q72" s="67">
        <f t="shared" si="12"/>
        <v>0</v>
      </c>
      <c r="R72" s="67" t="s">
        <v>49</v>
      </c>
      <c r="S72" s="179" t="s">
        <v>121</v>
      </c>
      <c r="T72" s="180">
        <v>80</v>
      </c>
      <c r="U72" s="180">
        <f t="shared" si="15"/>
        <v>2000</v>
      </c>
      <c r="V72" s="75"/>
    </row>
    <row r="73" spans="1:22" s="73" customFormat="1" ht="35.1" customHeight="1">
      <c r="A73" s="95" t="s">
        <v>117</v>
      </c>
      <c r="B73" s="174">
        <v>43</v>
      </c>
      <c r="C73" s="101" t="s">
        <v>136</v>
      </c>
      <c r="D73" s="102" t="s">
        <v>131</v>
      </c>
      <c r="E73" s="103" t="s">
        <v>132</v>
      </c>
      <c r="F73" s="103">
        <v>29</v>
      </c>
      <c r="G73" s="175"/>
      <c r="H73" s="103">
        <v>2</v>
      </c>
      <c r="I73" s="181">
        <v>53</v>
      </c>
      <c r="J73" s="181">
        <v>28.5</v>
      </c>
      <c r="K73" s="181">
        <v>40</v>
      </c>
      <c r="L73" s="171">
        <f t="shared" si="13"/>
        <v>6.0420000000000001E-2</v>
      </c>
      <c r="M73" s="67">
        <f t="shared" si="14"/>
        <v>0.12084</v>
      </c>
      <c r="N73" s="178"/>
      <c r="O73" s="178"/>
      <c r="P73" s="69">
        <f t="shared" si="11"/>
        <v>0</v>
      </c>
      <c r="Q73" s="67">
        <f t="shared" si="12"/>
        <v>0</v>
      </c>
      <c r="R73" s="67" t="s">
        <v>134</v>
      </c>
      <c r="S73" s="179" t="s">
        <v>121</v>
      </c>
      <c r="T73" s="180">
        <v>12.2</v>
      </c>
      <c r="U73" s="180">
        <f t="shared" si="15"/>
        <v>353.79999999999995</v>
      </c>
      <c r="V73" s="75"/>
    </row>
    <row r="74" spans="1:22" s="73" customFormat="1" ht="35.1" customHeight="1">
      <c r="A74" s="95" t="s">
        <v>117</v>
      </c>
      <c r="B74" s="174">
        <v>43</v>
      </c>
      <c r="C74" s="101" t="s">
        <v>137</v>
      </c>
      <c r="D74" s="102" t="s">
        <v>131</v>
      </c>
      <c r="E74" s="103" t="s">
        <v>132</v>
      </c>
      <c r="F74" s="103">
        <v>3</v>
      </c>
      <c r="G74" s="175"/>
      <c r="H74" s="183">
        <v>1</v>
      </c>
      <c r="I74" s="184">
        <v>62</v>
      </c>
      <c r="J74" s="184">
        <v>52</v>
      </c>
      <c r="K74" s="184">
        <v>50</v>
      </c>
      <c r="L74" s="185">
        <f t="shared" si="13"/>
        <v>0.16120000000000001</v>
      </c>
      <c r="M74" s="109">
        <f t="shared" si="14"/>
        <v>0.16120000000000001</v>
      </c>
      <c r="N74" s="186">
        <v>1.1000000000000001</v>
      </c>
      <c r="O74" s="186">
        <v>1.1000000000000001</v>
      </c>
      <c r="P74" s="112">
        <f t="shared" si="11"/>
        <v>1.1000000000000001</v>
      </c>
      <c r="Q74" s="109">
        <f t="shared" si="12"/>
        <v>1.1000000000000001</v>
      </c>
      <c r="R74" s="67" t="s">
        <v>49</v>
      </c>
      <c r="S74" s="179" t="s">
        <v>121</v>
      </c>
      <c r="T74" s="180">
        <v>73</v>
      </c>
      <c r="U74" s="180">
        <f t="shared" si="15"/>
        <v>219</v>
      </c>
      <c r="V74" s="75"/>
    </row>
    <row r="75" spans="1:22" s="73" customFormat="1" ht="35.1" customHeight="1">
      <c r="A75" s="95" t="s">
        <v>117</v>
      </c>
      <c r="B75" s="174">
        <v>43</v>
      </c>
      <c r="C75" s="101" t="s">
        <v>138</v>
      </c>
      <c r="D75" s="102" t="s">
        <v>131</v>
      </c>
      <c r="E75" s="103" t="s">
        <v>132</v>
      </c>
      <c r="F75" s="103">
        <v>13</v>
      </c>
      <c r="G75" s="175"/>
      <c r="H75" s="187"/>
      <c r="I75" s="188"/>
      <c r="J75" s="188"/>
      <c r="K75" s="188"/>
      <c r="L75" s="189"/>
      <c r="M75" s="190"/>
      <c r="N75" s="191"/>
      <c r="O75" s="191"/>
      <c r="P75" s="192"/>
      <c r="Q75" s="190"/>
      <c r="R75" s="67" t="s">
        <v>134</v>
      </c>
      <c r="S75" s="179" t="s">
        <v>121</v>
      </c>
      <c r="T75" s="180">
        <v>11.64</v>
      </c>
      <c r="U75" s="180">
        <f t="shared" si="15"/>
        <v>151.32</v>
      </c>
      <c r="V75" s="75"/>
    </row>
    <row r="76" spans="1:22" s="73" customFormat="1" ht="35.1" customHeight="1">
      <c r="A76" s="95" t="s">
        <v>117</v>
      </c>
      <c r="B76" s="174">
        <v>43</v>
      </c>
      <c r="C76" s="101" t="s">
        <v>139</v>
      </c>
      <c r="D76" s="102" t="s">
        <v>140</v>
      </c>
      <c r="E76" s="103" t="s">
        <v>132</v>
      </c>
      <c r="F76" s="103">
        <v>1</v>
      </c>
      <c r="G76" s="175"/>
      <c r="H76" s="187"/>
      <c r="I76" s="188"/>
      <c r="J76" s="188"/>
      <c r="K76" s="188"/>
      <c r="L76" s="189"/>
      <c r="M76" s="190"/>
      <c r="N76" s="191"/>
      <c r="O76" s="191"/>
      <c r="P76" s="192"/>
      <c r="Q76" s="190"/>
      <c r="R76" s="67" t="s">
        <v>134</v>
      </c>
      <c r="S76" s="179" t="s">
        <v>121</v>
      </c>
      <c r="T76" s="180">
        <v>13.2</v>
      </c>
      <c r="U76" s="180">
        <f t="shared" si="15"/>
        <v>13.2</v>
      </c>
      <c r="V76" s="75"/>
    </row>
    <row r="77" spans="1:22" s="73" customFormat="1" ht="35.1" customHeight="1">
      <c r="A77" s="95" t="s">
        <v>117</v>
      </c>
      <c r="B77" s="174">
        <v>43</v>
      </c>
      <c r="C77" s="101" t="s">
        <v>141</v>
      </c>
      <c r="D77" s="102" t="s">
        <v>140</v>
      </c>
      <c r="E77" s="103" t="s">
        <v>132</v>
      </c>
      <c r="F77" s="103">
        <v>23</v>
      </c>
      <c r="G77" s="175"/>
      <c r="H77" s="187"/>
      <c r="I77" s="188"/>
      <c r="J77" s="188"/>
      <c r="K77" s="188"/>
      <c r="L77" s="189"/>
      <c r="M77" s="190"/>
      <c r="N77" s="191"/>
      <c r="O77" s="191"/>
      <c r="P77" s="192"/>
      <c r="Q77" s="190"/>
      <c r="R77" s="67" t="s">
        <v>49</v>
      </c>
      <c r="S77" s="179" t="s">
        <v>121</v>
      </c>
      <c r="T77" s="180">
        <v>17.5</v>
      </c>
      <c r="U77" s="180">
        <f t="shared" si="15"/>
        <v>402.5</v>
      </c>
      <c r="V77" s="75"/>
    </row>
    <row r="78" spans="1:22" s="73" customFormat="1" ht="35.1" customHeight="1">
      <c r="A78" s="95" t="s">
        <v>117</v>
      </c>
      <c r="B78" s="174">
        <v>43</v>
      </c>
      <c r="C78" s="101" t="s">
        <v>142</v>
      </c>
      <c r="D78" s="102" t="s">
        <v>140</v>
      </c>
      <c r="E78" s="103" t="s">
        <v>132</v>
      </c>
      <c r="F78" s="103">
        <v>1</v>
      </c>
      <c r="G78" s="175"/>
      <c r="H78" s="193"/>
      <c r="I78" s="194"/>
      <c r="J78" s="194"/>
      <c r="K78" s="194"/>
      <c r="L78" s="195"/>
      <c r="M78" s="119"/>
      <c r="N78" s="196"/>
      <c r="O78" s="196"/>
      <c r="P78" s="122"/>
      <c r="Q78" s="119"/>
      <c r="R78" s="67" t="s">
        <v>49</v>
      </c>
      <c r="S78" s="179" t="s">
        <v>121</v>
      </c>
      <c r="T78" s="180">
        <v>18.5</v>
      </c>
      <c r="U78" s="180">
        <f t="shared" si="15"/>
        <v>18.5</v>
      </c>
      <c r="V78" s="75"/>
    </row>
    <row r="79" spans="1:22" s="84" customFormat="1" ht="20.100000000000001" customHeight="1">
      <c r="A79" s="168"/>
      <c r="B79" s="150"/>
      <c r="C79" s="152"/>
      <c r="D79" s="197"/>
      <c r="E79" s="153"/>
      <c r="F79" s="198">
        <f>SUM(F66:F78)</f>
        <v>1113</v>
      </c>
      <c r="G79" s="198">
        <f>SUM(G66:G78)</f>
        <v>0</v>
      </c>
      <c r="H79" s="198">
        <f>SUM(H66:H78)</f>
        <v>205</v>
      </c>
      <c r="I79" s="198"/>
      <c r="J79" s="198"/>
      <c r="K79" s="198"/>
      <c r="L79" s="199"/>
      <c r="M79" s="200">
        <f>SUM(M66:M78)</f>
        <v>29.509948750000003</v>
      </c>
      <c r="N79" s="198"/>
      <c r="O79" s="198"/>
      <c r="P79" s="198">
        <f>SUM(P66:P78)</f>
        <v>909.99</v>
      </c>
      <c r="Q79" s="198">
        <f>SUM(Q66:Q78)</f>
        <v>936.0200000000001</v>
      </c>
      <c r="R79" s="198"/>
      <c r="S79" s="198"/>
      <c r="T79" s="198"/>
      <c r="U79" s="200">
        <f>SUM(U66:U78)</f>
        <v>64703.520000000004</v>
      </c>
      <c r="V79" s="200">
        <f>SUM(V66:V78)</f>
        <v>64703.520000000004</v>
      </c>
    </row>
    <row r="80" spans="1:22" s="73" customFormat="1">
      <c r="A80" s="201" t="s">
        <v>143</v>
      </c>
      <c r="B80" s="201" t="s">
        <v>143</v>
      </c>
      <c r="C80" s="202" t="s">
        <v>143</v>
      </c>
      <c r="D80" s="201" t="s">
        <v>143</v>
      </c>
      <c r="E80" s="201" t="s">
        <v>143</v>
      </c>
      <c r="F80" s="201" t="s">
        <v>143</v>
      </c>
      <c r="G80" s="201" t="s">
        <v>143</v>
      </c>
      <c r="H80" s="201"/>
      <c r="I80" s="203" t="s">
        <v>143</v>
      </c>
      <c r="J80" s="203" t="s">
        <v>143</v>
      </c>
      <c r="K80" s="203" t="s">
        <v>143</v>
      </c>
      <c r="L80" s="203" t="s">
        <v>143</v>
      </c>
      <c r="M80" s="203" t="s">
        <v>143</v>
      </c>
      <c r="N80" s="203" t="s">
        <v>143</v>
      </c>
      <c r="O80" s="203" t="s">
        <v>143</v>
      </c>
      <c r="P80" s="203" t="s">
        <v>143</v>
      </c>
      <c r="Q80" s="203" t="s">
        <v>143</v>
      </c>
      <c r="R80" s="203" t="s">
        <v>143</v>
      </c>
      <c r="S80" s="203"/>
      <c r="T80" s="204" t="s">
        <v>143</v>
      </c>
      <c r="U80" s="204" t="s">
        <v>143</v>
      </c>
      <c r="V80" s="205" t="s">
        <v>143</v>
      </c>
    </row>
    <row r="81" spans="1:22" ht="24.95" customHeight="1">
      <c r="A81" s="206"/>
      <c r="B81" s="174"/>
      <c r="C81" s="207"/>
      <c r="D81" s="208"/>
      <c r="E81" s="208"/>
      <c r="F81" s="209">
        <f>SUM(F18+F19+F20+F21+F22+F23+F24+F26+F27+F28+F30+F31+F32+F33+F34+F36+F37+F38+F39+F40+F41+F42+F43+F44+F45+F46+F47+F48+F49+F51+F52+F53+F54+F55+F56+F58+F59+F60+F62+F64+F66+F67+F69+F78+F70+F71+F72+F73+F74+F75+F76+F77+F68)</f>
        <v>7365</v>
      </c>
      <c r="G81" s="209">
        <f>SUM(G18+G19+G20+G21+G22+G23+G24+G26+G27+G28+G30+G31+G32+G33+G34+G36+G37+G38+G39+G40+G41+G42+G43+G44+G45+G46+G47+G48+G49+G51+G52+G53+G54+G55+G56+G58+G59+G60+G62+G64+G66+G67+G69+G78+G70+G71+G72+G73+G74+G75+G76+G77)</f>
        <v>545</v>
      </c>
      <c r="H81" s="209">
        <f>SUM(H18+H19+H20+H21+H22+H23+H24+H26+H27+H28+H30+H31+H32+H33+H34+H36+H37+H38+H39+H40+H41+H42+H43+H44+H45+H46+H47+H48+H49+H51+H52+H53+H54+H55+H56+H58+H59+H60+H62+H64+H66+H67+H69+H78+H70+H71+H72+H73+H74+H75+H76+H77+H50+H68)</f>
        <v>685</v>
      </c>
      <c r="I81" s="209"/>
      <c r="J81" s="209"/>
      <c r="K81" s="209"/>
      <c r="L81" s="209"/>
      <c r="M81" s="210">
        <f>SUM(M18+M19+M20+M21+M22+M23+M24+M26+M27+M28+M30+M31+M32+M33+M34+M36+M37+M38+M39+M40+M41+M42+M43+M44+M45+M46+M47+M48+M49+M51+M52+M53+M54+M55+M56+M58+M59+M60+M62+M64+M66+M67+M69+M78+M70+M71+M72+M73+M74+M68)</f>
        <v>63.202873749999988</v>
      </c>
      <c r="N81" s="210"/>
      <c r="O81" s="210"/>
      <c r="P81" s="210">
        <f>SUM(P18+P19+P20+P21+P22+P23+P24+P26+P27+P28+P30+P31+P32+P33+P34+P36+P37+P38+P39+P40+P41+P42+P43+P44+P45+P46+P47+P48+P49+P51+P52+P53+P54+P55+P56+P58+P59+P60+P62+P64+P66+P67+P69+P78+P70+P71+P72+P73+P74+P68)</f>
        <v>4648.2900000000009</v>
      </c>
      <c r="Q81" s="210">
        <f>SUM(Q18+Q19+Q20+Q21+Q22+Q23+Q24+Q26+Q27+Q28+Q30+Q31+Q32+Q33+Q34+Q36+Q37+Q38+Q39+Q40+Q41+Q42+Q43+Q44+Q45+Q46+Q47+Q48+Q49+Q51+Q52+Q53+Q54+Q55+Q56+Q58+Q59+Q60+Q62+Q64+Q66+Q67+Q69+Q78+Q70+Q71+Q72+Q73+Q74+Q68)</f>
        <v>7857.92</v>
      </c>
      <c r="R81" s="210"/>
      <c r="S81" s="210"/>
      <c r="T81" s="210"/>
      <c r="U81" s="210">
        <f>SUM(U18+U19+U20+U21+U22+U23+U24+U26+U27+U28+U30+U31+U32+U33+U34+U36+U37+U38+U39+U40+U41+U42+U43+U44+U45+U46+U47+U48+U49+U51+U52+U53+U54+U55+U56+U58+U59+U60+U62+U64+U66+U67+U69+U78+U70+U71+U72+U73+U74+U75+U76+U77+U68)</f>
        <v>631014.52</v>
      </c>
      <c r="V81" s="210">
        <f>SUM(V18+V19+V20+V21+V22+V23+V24+V26+V27+V28+V30+V31+V32+V33+V34+V36+V37+V38+V39+V40+V41+V42+V43+V44+V45+V46+V47+V48+V49+V51+V52+V53+V54+V55+V56+V58+V59+V60+V62+V64+V66+V67+V69+V78+V70+V71+V72+V73+V74+V75+V76+V77)</f>
        <v>631014.52</v>
      </c>
    </row>
    <row r="82" spans="1:22">
      <c r="C82" s="212"/>
      <c r="F82" s="213"/>
      <c r="G82" s="213"/>
      <c r="H82" s="213"/>
      <c r="I82" s="213"/>
      <c r="J82" s="213"/>
      <c r="K82" s="213"/>
      <c r="L82" s="213"/>
      <c r="M82" s="214"/>
      <c r="N82" s="213"/>
      <c r="O82" s="213"/>
      <c r="P82" s="213"/>
      <c r="Q82" s="213"/>
      <c r="R82" s="215"/>
      <c r="S82" s="215"/>
      <c r="T82" s="216"/>
      <c r="U82" s="216"/>
      <c r="V82" s="216"/>
    </row>
    <row r="83" spans="1:22" s="217" customFormat="1">
      <c r="C83" s="218" t="s">
        <v>144</v>
      </c>
      <c r="D83" s="219"/>
      <c r="E83" s="219"/>
      <c r="L83" s="217" t="s">
        <v>49</v>
      </c>
      <c r="M83" s="220">
        <f>M18+M19+M20+M21+M22+M23+M24+M30+M31+M32+M33+M34+M36+M38+M40+M41+M42+M43+M45+M46+M47+M48+M49+M51+M52+M53+M54+M55+M56+M62+M64+M66+M67+M69+M78+M70+M71+M72+M73+M74+M68</f>
        <v>55.895868749999998</v>
      </c>
      <c r="N83" s="220">
        <f>M83/M81*2700</f>
        <v>2387.8478409377708</v>
      </c>
      <c r="O83" s="220">
        <f>U83/U81*1</f>
        <v>0.84974989165067061</v>
      </c>
      <c r="P83" s="220">
        <f>M83/M81*13950</f>
        <v>12337.21384484515</v>
      </c>
      <c r="Q83" s="220"/>
      <c r="R83" s="220"/>
      <c r="S83" s="220"/>
      <c r="T83" s="217" t="s">
        <v>49</v>
      </c>
      <c r="U83" s="220">
        <f>U18+U19+U20+U21+U22+U23+U24+U30+U31+U32+U33+U34+U36+U38+U40+U41+U42+U43+U45+U46+U47+U48+U49+U51+U52+U53+U54+U55+U56+U62+U64+U66+U67+U69+U78+U44+U37+U39+U70+U71+U72+U73+U74+U75+U76+U77+U68</f>
        <v>536204.5199999999</v>
      </c>
      <c r="V83" s="11"/>
    </row>
    <row r="84" spans="1:22" s="217" customFormat="1">
      <c r="C84" s="221"/>
      <c r="D84" s="219"/>
      <c r="E84" s="219"/>
      <c r="L84" s="217" t="s">
        <v>65</v>
      </c>
      <c r="M84" s="220">
        <f>M26+M27+M28+M58+M59+M60</f>
        <v>7.3070050000000002</v>
      </c>
      <c r="N84" s="220">
        <f>M84/M81*2700</f>
        <v>312.15215906222943</v>
      </c>
      <c r="O84" s="220">
        <f>U84/U81*1</f>
        <v>0.15025010834932925</v>
      </c>
      <c r="P84" s="220">
        <f>M84/M81*13950</f>
        <v>1612.7861551548519</v>
      </c>
      <c r="Q84" s="220"/>
      <c r="R84" s="220"/>
      <c r="S84" s="220"/>
      <c r="T84" s="217" t="s">
        <v>65</v>
      </c>
      <c r="U84" s="220">
        <f>U26+U27+U28+U58+U59+U60</f>
        <v>94810</v>
      </c>
      <c r="V84" s="11"/>
    </row>
    <row r="85" spans="1:22" s="217" customFormat="1" ht="16.5" thickBot="1">
      <c r="C85" s="221" t="s">
        <v>145</v>
      </c>
      <c r="D85" s="219"/>
      <c r="E85" s="219"/>
      <c r="M85" s="222">
        <f>M83+M84</f>
        <v>63.202873749999995</v>
      </c>
      <c r="N85" s="222">
        <f t="shared" ref="N85:U85" si="16">N83+N84</f>
        <v>2700</v>
      </c>
      <c r="O85" s="222">
        <f t="shared" si="16"/>
        <v>0.99999999999999989</v>
      </c>
      <c r="P85" s="222">
        <f t="shared" si="16"/>
        <v>13950.000000000002</v>
      </c>
      <c r="Q85" s="223"/>
      <c r="R85" s="223"/>
      <c r="S85" s="223"/>
      <c r="T85" s="216"/>
      <c r="U85" s="224">
        <f t="shared" si="16"/>
        <v>631014.5199999999</v>
      </c>
      <c r="V85" s="11"/>
    </row>
    <row r="86" spans="1:22" s="225" customFormat="1" ht="23.25" thickTop="1">
      <c r="C86" s="226" t="s">
        <v>146</v>
      </c>
      <c r="D86" s="227"/>
      <c r="E86" s="227"/>
      <c r="M86" s="228" t="s">
        <v>147</v>
      </c>
      <c r="N86" s="228" t="s">
        <v>148</v>
      </c>
      <c r="O86" s="228" t="s">
        <v>149</v>
      </c>
      <c r="P86" s="228" t="s">
        <v>150</v>
      </c>
      <c r="Q86" s="228"/>
      <c r="T86" s="229"/>
      <c r="U86" s="230" t="s">
        <v>151</v>
      </c>
      <c r="V86" s="231"/>
    </row>
    <row r="87" spans="1:22" s="217" customFormat="1">
      <c r="C87" s="232" t="s">
        <v>152</v>
      </c>
      <c r="D87" s="219"/>
      <c r="E87" s="219"/>
      <c r="M87" s="223"/>
      <c r="N87" s="223"/>
      <c r="O87" s="223"/>
      <c r="Q87" s="223"/>
      <c r="T87" s="233"/>
      <c r="U87" s="233"/>
      <c r="V87" s="11"/>
    </row>
    <row r="88" spans="1:22">
      <c r="C88" s="234" t="s">
        <v>153</v>
      </c>
    </row>
    <row r="89" spans="1:22">
      <c r="C89" s="234"/>
    </row>
    <row r="90" spans="1:22">
      <c r="C90" s="234"/>
    </row>
  </sheetData>
  <mergeCells count="74">
    <mergeCell ref="N74:N78"/>
    <mergeCell ref="O74:O78"/>
    <mergeCell ref="P74:P78"/>
    <mergeCell ref="Q74:Q78"/>
    <mergeCell ref="P43:P44"/>
    <mergeCell ref="Q43:Q44"/>
    <mergeCell ref="V58:V60"/>
    <mergeCell ref="V66:V78"/>
    <mergeCell ref="H74:H78"/>
    <mergeCell ref="I74:I78"/>
    <mergeCell ref="J74:J78"/>
    <mergeCell ref="K74:K78"/>
    <mergeCell ref="L74:L78"/>
    <mergeCell ref="M74:M78"/>
    <mergeCell ref="Q38:Q39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G38:G39"/>
    <mergeCell ref="H38:H39"/>
    <mergeCell ref="I38:I39"/>
    <mergeCell ref="J38:J39"/>
    <mergeCell ref="K38:K39"/>
    <mergeCell ref="L38:L39"/>
    <mergeCell ref="M36:M37"/>
    <mergeCell ref="N36:N37"/>
    <mergeCell ref="O36:O37"/>
    <mergeCell ref="P36:P37"/>
    <mergeCell ref="Q36:Q37"/>
    <mergeCell ref="V36:V56"/>
    <mergeCell ref="M38:M39"/>
    <mergeCell ref="N38:N39"/>
    <mergeCell ref="O38:O39"/>
    <mergeCell ref="P38:P39"/>
    <mergeCell ref="G36:G37"/>
    <mergeCell ref="H36:H37"/>
    <mergeCell ref="I36:I37"/>
    <mergeCell ref="J36:J37"/>
    <mergeCell ref="K36:K37"/>
    <mergeCell ref="L36:L37"/>
    <mergeCell ref="T15:T16"/>
    <mergeCell ref="U15:U16"/>
    <mergeCell ref="V15:V16"/>
    <mergeCell ref="V18:V24"/>
    <mergeCell ref="V26:V28"/>
    <mergeCell ref="V30:V34"/>
    <mergeCell ref="H15:H16"/>
    <mergeCell ref="I15:K15"/>
    <mergeCell ref="L15:L16"/>
    <mergeCell ref="M15:M16"/>
    <mergeCell ref="R15:R16"/>
    <mergeCell ref="S15:S16"/>
    <mergeCell ref="B6:C6"/>
    <mergeCell ref="F6:G6"/>
    <mergeCell ref="H6:J6"/>
    <mergeCell ref="A15:A16"/>
    <mergeCell ref="B15:B16"/>
    <mergeCell ref="C15:C16"/>
    <mergeCell ref="D15:D16"/>
    <mergeCell ref="E15:E16"/>
    <mergeCell ref="F15:F16"/>
    <mergeCell ref="G15:G16"/>
    <mergeCell ref="B1:C1"/>
    <mergeCell ref="F1:G1"/>
    <mergeCell ref="B2:C2"/>
    <mergeCell ref="F2:G2"/>
    <mergeCell ref="B3:C3"/>
    <mergeCell ref="F3:G3"/>
  </mergeCells>
  <printOptions horizontalCentered="1"/>
  <pageMargins left="0" right="0" top="0.59055118110236227" bottom="0.19685039370078741" header="0.11811023622047245" footer="0.15748031496062992"/>
  <pageSetup paperSize="9" scale="49" fitToHeight="6" orientation="landscape" r:id="rId1"/>
  <headerFooter alignWithMargins="0"/>
  <rowBreaks count="1" manualBreakCount="1">
    <brk id="87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RMB</vt:lpstr>
      <vt:lpstr>RMB!Print_Titles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t407</dc:creator>
  <cp:lastModifiedBy>t407</cp:lastModifiedBy>
  <dcterms:created xsi:type="dcterms:W3CDTF">2026-08-04T10:02:27Z</dcterms:created>
  <dcterms:modified xsi:type="dcterms:W3CDTF">2026-08-04T10:02:45Z</dcterms:modified>
</cp:coreProperties>
</file>