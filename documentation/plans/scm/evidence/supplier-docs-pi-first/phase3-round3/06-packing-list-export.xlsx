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;[Red]0.00"/>
    <numFmt numFmtId="165" formatCode="0_);[Red]\(0\)"/>
    <numFmt numFmtId="166" formatCode="0.00_);[Red]\(0.00\)"/>
  </numFmts>
  <fonts count="5">
    <font>
      <name val="Calibri"/>
      <family val="2"/>
      <color theme="1"/>
      <sz val="11"/>
      <scheme val="minor"/>
    </font>
    <font>
      <name val="Calibri"/>
      <sz val="12"/>
    </font>
    <font>
      <name val="Calibri"/>
      <b val="1"/>
      <sz val="12"/>
    </font>
    <font>
      <name val="Calibri"/>
      <color rgb="FFFF0000"/>
      <sz val="12"/>
    </font>
    <font>
      <name val="Calibri"/>
      <b val="1"/>
      <color rgb="FFFF000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2" fontId="1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 wrapText="1"/>
    </xf>
    <xf numFmtId="4" fontId="1" fillId="0" borderId="0" applyAlignment="1" pivotButton="0" quotePrefix="0" xfId="0">
      <alignment horizontal="center" vertical="center" wrapText="1"/>
    </xf>
    <xf numFmtId="4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center" vertical="center" wrapText="1"/>
    </xf>
    <xf numFmtId="166" fontId="4" fillId="0" borderId="0" applyAlignment="1" pivotButton="0" quotePrefix="0" xfId="0">
      <alignment horizontal="center" vertical="center" wrapText="1"/>
    </xf>
    <xf numFmtId="4" fontId="4" fillId="0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cols>
    <col width="18.86" customWidth="1" min="1" max="1"/>
    <col width="7.29" customWidth="1" min="2" max="2"/>
    <col width="27.86" customWidth="1" min="3" max="3"/>
    <col width="45.86" customWidth="1" min="4" max="4"/>
    <col width="10.71" customWidth="1" min="5" max="5"/>
    <col width="9" customWidth="1" min="6" max="6"/>
    <col width="8" customWidth="1" min="7" max="7"/>
    <col width="7.71" customWidth="1" min="8" max="8"/>
    <col width="8.57" customWidth="1" min="9" max="9"/>
    <col width="7.71" customWidth="1" min="10" max="10"/>
    <col width="9.57" customWidth="1" min="12" max="12"/>
    <col width="10.14" customWidth="1" min="13" max="13"/>
    <col width="9.140000000000001" customWidth="1" min="14" max="14"/>
    <col width="8.289999999999999" customWidth="1" min="15" max="15"/>
    <col width="11.57" customWidth="1" min="16" max="16"/>
    <col width="11.43" customWidth="1" min="17" max="17"/>
    <col width="15.14" customWidth="1" min="18" max="18"/>
    <col width="29.29" customWidth="1" min="19" max="19"/>
    <col width="15.57" customWidth="1" min="20" max="20"/>
    <col width="15.57" customWidth="1" min="22" max="22"/>
  </cols>
  <sheetData>
    <row r="1">
      <c r="A1" s="1" t="inlineStr">
        <is>
          <t xml:space="preserve">LOADING : </t>
        </is>
      </c>
      <c r="B1" s="2" t="n"/>
    </row>
    <row r="2">
      <c r="A2" s="1" t="inlineStr">
        <is>
          <t>ETD :</t>
        </is>
      </c>
      <c r="B2" s="2" t="n"/>
    </row>
    <row r="3">
      <c r="A3" s="1" t="inlineStr">
        <is>
          <t xml:space="preserve">ETA : </t>
        </is>
      </c>
      <c r="B3" s="2" t="n"/>
    </row>
    <row r="4">
      <c r="A4" s="1" t="inlineStr">
        <is>
          <t>CONTAINER :</t>
        </is>
      </c>
      <c r="B4" s="2" t="inlineStr">
        <is>
          <t>WHSU7390118</t>
        </is>
      </c>
    </row>
    <row r="5">
      <c r="A5" s="1" t="inlineStr">
        <is>
          <t xml:space="preserve">SEAL NO : </t>
        </is>
      </c>
      <c r="B5" s="1" t="inlineStr">
        <is>
          <t>WHA4529810</t>
        </is>
      </c>
    </row>
    <row r="6">
      <c r="A6" s="1" t="inlineStr">
        <is>
          <t>SO :</t>
        </is>
      </c>
      <c r="B6" s="2" t="inlineStr">
        <is>
          <t>026G554548</t>
        </is>
      </c>
    </row>
    <row r="7">
      <c r="A7" s="1" t="inlineStr">
        <is>
          <t>CONSIGNEE :</t>
        </is>
      </c>
      <c r="B7" s="1" t="inlineStr">
        <is>
          <t>SORENTO SDN BHD</t>
        </is>
      </c>
    </row>
    <row r="8">
      <c r="A8" s="1" t="inlineStr">
        <is>
          <t>SHIPPER :</t>
        </is>
      </c>
      <c r="B8" s="1" t="n"/>
    </row>
    <row r="9">
      <c r="A9" s="1" t="inlineStr">
        <is>
          <t xml:space="preserve">CHINA AGENT : </t>
        </is>
      </c>
      <c r="B9" s="1" t="n"/>
    </row>
    <row r="10">
      <c r="A10" s="1" t="inlineStr">
        <is>
          <t>FACTORY :</t>
        </is>
      </c>
      <c r="B10" s="1" t="inlineStr">
        <is>
          <t>CHAOZHOU JINBAICHUAN SANITARY WARE CO., LTD</t>
        </is>
      </c>
    </row>
    <row r="11">
      <c r="A11" s="1" t="inlineStr">
        <is>
          <t xml:space="preserve">FREE DAYS : </t>
        </is>
      </c>
      <c r="B11" s="1" t="n"/>
    </row>
    <row r="12" ht="31.5" customHeight="1">
      <c r="A12" s="3" t="inlineStr">
        <is>
          <t xml:space="preserve">DELIVERY WAREHOUSE : </t>
        </is>
      </c>
      <c r="B12" s="1" t="n"/>
    </row>
    <row r="15">
      <c r="A15" s="4" t="inlineStr">
        <is>
          <t>FACTORY</t>
        </is>
      </c>
      <c r="B15" s="4" t="inlineStr">
        <is>
          <t>NO</t>
        </is>
      </c>
      <c r="C15" s="4" t="inlineStr">
        <is>
          <t>MODEL</t>
        </is>
      </c>
      <c r="D15" s="4" t="inlineStr">
        <is>
          <t>DESCRIPTION</t>
        </is>
      </c>
      <c r="E15" s="4" t="inlineStr">
        <is>
          <t>MATERIAL</t>
        </is>
      </c>
      <c r="F15" s="4" t="inlineStr">
        <is>
          <t>QTY</t>
        </is>
      </c>
      <c r="G15" s="4" t="inlineStr">
        <is>
          <t>PCS / CTN</t>
        </is>
      </c>
      <c r="H15" s="4" t="inlineStr">
        <is>
          <t>CTN QTY</t>
        </is>
      </c>
      <c r="I15" s="4" t="inlineStr">
        <is>
          <t>SIZE (CM)</t>
        </is>
      </c>
      <c r="L15" s="4" t="inlineStr">
        <is>
          <t>CBM
/ CTN</t>
        </is>
      </c>
      <c r="M15" s="4" t="inlineStr">
        <is>
          <t>TOTAL CBM</t>
        </is>
      </c>
      <c r="N15" s="4" t="inlineStr">
        <is>
          <t>NW</t>
        </is>
      </c>
      <c r="O15" s="4" t="inlineStr">
        <is>
          <t>GW</t>
        </is>
      </c>
      <c r="P15" s="4" t="inlineStr">
        <is>
          <t>TOTAL NW</t>
        </is>
      </c>
      <c r="Q15" s="4" t="inlineStr">
        <is>
          <t>TOTAL GW</t>
        </is>
      </c>
      <c r="R15" s="4" t="inlineStr">
        <is>
          <t>LOGO</t>
        </is>
      </c>
      <c r="S15" s="4" t="inlineStr">
        <is>
          <t>REMARKS</t>
        </is>
      </c>
      <c r="T15" s="4" t="inlineStr">
        <is>
          <t>RMB</t>
        </is>
      </c>
      <c r="U15" s="4" t="inlineStr">
        <is>
          <t>TOTAL RM</t>
        </is>
      </c>
    </row>
    <row r="16">
      <c r="I16" s="4" t="inlineStr">
        <is>
          <t>L</t>
        </is>
      </c>
      <c r="J16" s="4" t="inlineStr">
        <is>
          <t>W</t>
        </is>
      </c>
      <c r="K16" s="4" t="inlineStr">
        <is>
          <t>H</t>
        </is>
      </c>
      <c r="N16" s="4" t="inlineStr">
        <is>
          <t>KG</t>
        </is>
      </c>
      <c r="O16" s="4" t="inlineStr">
        <is>
          <t>KG</t>
        </is>
      </c>
      <c r="P16" s="4" t="inlineStr">
        <is>
          <t>KG</t>
        </is>
      </c>
      <c r="Q16" s="4" t="inlineStr">
        <is>
          <t>KG</t>
        </is>
      </c>
    </row>
    <row r="18" ht="35.1" customHeight="1">
      <c r="A18" s="5" t="inlineStr">
        <is>
          <t>CHAOZHOU JINBAICHUAN SANITARY WARE CO., LTD</t>
        </is>
      </c>
      <c r="B18" s="5" t="n">
        <v>1</v>
      </c>
      <c r="C18" s="5" t="inlineStr">
        <is>
          <t>CWB242</t>
        </is>
      </c>
      <c r="D18" s="5" t="inlineStr">
        <is>
          <t>盆</t>
        </is>
      </c>
      <c r="E18" s="5" t="n"/>
      <c r="F18" s="5" t="n">
        <v>105</v>
      </c>
      <c r="G18" s="5" t="n"/>
      <c r="H18" s="5" t="n">
        <v>105</v>
      </c>
      <c r="I18" s="6" t="n"/>
      <c r="J18" s="6" t="n"/>
      <c r="K18" s="6" t="n"/>
      <c r="L18" s="7" t="n"/>
      <c r="M18" s="7" t="n">
        <v>3.15</v>
      </c>
      <c r="N18" s="7" t="n"/>
      <c r="O18" s="7" t="n"/>
      <c r="P18" s="7" t="n"/>
      <c r="Q18" s="7" t="n"/>
      <c r="R18" s="5" t="inlineStr">
        <is>
          <t>CABANA</t>
        </is>
      </c>
      <c r="S18" s="5" t="n"/>
      <c r="T18" s="6" t="n">
        <v>34.5</v>
      </c>
      <c r="U18" s="8">
        <f>T18*F18</f>
        <v/>
      </c>
      <c r="V18" s="9">
        <f>SUM(U18:U18)</f>
        <v/>
      </c>
    </row>
    <row r="19" ht="15.95" customHeight="1">
      <c r="A19" s="10" t="n"/>
      <c r="B19" s="10" t="n"/>
      <c r="C19" s="10" t="n"/>
      <c r="D19" s="10" t="n"/>
      <c r="E19" s="10" t="n"/>
      <c r="F19" s="11">
        <f>SUM(F18:F18)</f>
        <v/>
      </c>
      <c r="G19" s="11">
        <f>SUM(G18:G18)</f>
        <v/>
      </c>
      <c r="H19" s="11">
        <f>SUM(H18:H18)</f>
        <v/>
      </c>
      <c r="I19" s="10" t="n"/>
      <c r="J19" s="10" t="n"/>
      <c r="K19" s="10" t="n"/>
      <c r="L19" s="10" t="n"/>
      <c r="M19" s="12">
        <f>SUM(M18:M18)</f>
        <v/>
      </c>
      <c r="N19" s="10" t="n"/>
      <c r="O19" s="10" t="n"/>
      <c r="P19" s="12">
        <f>SUM(P18:P18)</f>
        <v/>
      </c>
      <c r="Q19" s="12">
        <f>SUM(Q18:Q18)</f>
        <v/>
      </c>
      <c r="R19" s="10" t="n"/>
      <c r="S19" s="10" t="n"/>
      <c r="T19" s="10" t="n"/>
      <c r="U19" s="13">
        <f>SUM(U18:U18)</f>
        <v/>
      </c>
      <c r="V19" s="13">
        <f>SUM(V18)</f>
        <v/>
      </c>
    </row>
    <row r="20" ht="35.1" customHeight="1">
      <c r="A20" s="5" t="inlineStr">
        <is>
          <t>CHAOZHOU JINBAICHUAN SANITARY WARE CO., LTD (MOCHA)</t>
        </is>
      </c>
      <c r="B20" s="5" t="n">
        <v>2</v>
      </c>
      <c r="C20" s="5" t="inlineStr">
        <is>
          <t>MWB243</t>
        </is>
      </c>
      <c r="D20" s="5" t="inlineStr">
        <is>
          <t>盆</t>
        </is>
      </c>
      <c r="E20" s="5" t="n"/>
      <c r="F20" s="5" t="n">
        <v>145</v>
      </c>
      <c r="G20" s="5" t="n"/>
      <c r="H20" s="5" t="n">
        <v>145</v>
      </c>
      <c r="I20" s="6" t="n"/>
      <c r="J20" s="6" t="n"/>
      <c r="K20" s="6" t="n"/>
      <c r="L20" s="7" t="n"/>
      <c r="M20" s="7" t="n">
        <v>5.8</v>
      </c>
      <c r="N20" s="7" t="n"/>
      <c r="O20" s="7" t="n"/>
      <c r="P20" s="7" t="n"/>
      <c r="Q20" s="7" t="n"/>
      <c r="R20" s="5" t="inlineStr">
        <is>
          <t>MOCHA</t>
        </is>
      </c>
      <c r="S20" s="5" t="inlineStr">
        <is>
          <t>ENGTEX NCT SMART INDUSTRIAL</t>
        </is>
      </c>
      <c r="T20" s="6" t="n">
        <v>54.5</v>
      </c>
      <c r="U20" s="8">
        <f>T20*F20</f>
        <v/>
      </c>
      <c r="V20" s="9">
        <f>SUM(U20:U20)</f>
        <v/>
      </c>
    </row>
    <row r="21" ht="15.95" customHeight="1">
      <c r="A21" s="10" t="n"/>
      <c r="B21" s="10" t="n"/>
      <c r="C21" s="10" t="n"/>
      <c r="D21" s="10" t="n"/>
      <c r="E21" s="10" t="n"/>
      <c r="F21" s="11">
        <f>SUM(F20:F20)</f>
        <v/>
      </c>
      <c r="G21" s="11">
        <f>SUM(G20:G20)</f>
        <v/>
      </c>
      <c r="H21" s="11">
        <f>SUM(H20:H20)</f>
        <v/>
      </c>
      <c r="I21" s="10" t="n"/>
      <c r="J21" s="10" t="n"/>
      <c r="K21" s="10" t="n"/>
      <c r="L21" s="10" t="n"/>
      <c r="M21" s="12">
        <f>SUM(M20:M20)</f>
        <v/>
      </c>
      <c r="N21" s="10" t="n"/>
      <c r="O21" s="10" t="n"/>
      <c r="P21" s="12">
        <f>SUM(P20:P20)</f>
        <v/>
      </c>
      <c r="Q21" s="12">
        <f>SUM(Q20:Q20)</f>
        <v/>
      </c>
      <c r="R21" s="10" t="n"/>
      <c r="S21" s="10" t="n"/>
      <c r="T21" s="10" t="n"/>
      <c r="U21" s="13">
        <f>SUM(U20:U20)</f>
        <v/>
      </c>
      <c r="V21" s="13">
        <f>SUM(V20)</f>
        <v/>
      </c>
    </row>
    <row r="22">
      <c r="A22" s="5" t="inlineStr">
        <is>
          <t>-</t>
        </is>
      </c>
      <c r="B22" s="5" t="inlineStr">
        <is>
          <t>-</t>
        </is>
      </c>
      <c r="C22" s="5" t="inlineStr">
        <is>
          <t>-</t>
        </is>
      </c>
      <c r="D22" s="5" t="inlineStr">
        <is>
          <t>-</t>
        </is>
      </c>
      <c r="E22" s="5" t="inlineStr">
        <is>
          <t>-</t>
        </is>
      </c>
      <c r="F22" s="5" t="inlineStr">
        <is>
          <t>-</t>
        </is>
      </c>
      <c r="G22" s="5" t="inlineStr">
        <is>
          <t>-</t>
        </is>
      </c>
      <c r="H22" s="5" t="inlineStr">
        <is>
          <t>-</t>
        </is>
      </c>
      <c r="I22" s="5" t="inlineStr">
        <is>
          <t>-</t>
        </is>
      </c>
      <c r="J22" s="5" t="inlineStr">
        <is>
          <t>-</t>
        </is>
      </c>
      <c r="K22" s="5" t="inlineStr">
        <is>
          <t>-</t>
        </is>
      </c>
      <c r="L22" s="5" t="inlineStr">
        <is>
          <t>-</t>
        </is>
      </c>
      <c r="M22" s="5" t="inlineStr">
        <is>
          <t>-</t>
        </is>
      </c>
      <c r="N22" s="5" t="inlineStr">
        <is>
          <t>-</t>
        </is>
      </c>
      <c r="O22" s="5" t="inlineStr">
        <is>
          <t>-</t>
        </is>
      </c>
      <c r="P22" s="5" t="inlineStr">
        <is>
          <t>-</t>
        </is>
      </c>
      <c r="Q22" s="5" t="inlineStr">
        <is>
          <t>-</t>
        </is>
      </c>
      <c r="R22" s="5" t="inlineStr">
        <is>
          <t>-</t>
        </is>
      </c>
      <c r="S22" s="5" t="inlineStr">
        <is>
          <t>-</t>
        </is>
      </c>
      <c r="T22" s="5" t="inlineStr">
        <is>
          <t>-</t>
        </is>
      </c>
      <c r="U22" s="5" t="inlineStr">
        <is>
          <t>-</t>
        </is>
      </c>
      <c r="V22" s="5" t="inlineStr">
        <is>
          <t>-</t>
        </is>
      </c>
    </row>
    <row r="23">
      <c r="A23" s="4" t="n"/>
      <c r="B23" s="4" t="n"/>
      <c r="C23" s="4" t="n"/>
      <c r="D23" s="4" t="n"/>
      <c r="E23" s="4" t="n"/>
      <c r="F23" s="14">
        <f>SUM(F19,F21)</f>
        <v/>
      </c>
      <c r="G23" s="14">
        <f>SUM(G19,G21)</f>
        <v/>
      </c>
      <c r="H23" s="14">
        <f>SUM(H19,H21)</f>
        <v/>
      </c>
      <c r="I23" s="4" t="n"/>
      <c r="J23" s="4" t="n"/>
      <c r="K23" s="4" t="n"/>
      <c r="L23" s="4" t="n"/>
      <c r="M23" s="15">
        <f>SUM(M19,M21)</f>
        <v/>
      </c>
      <c r="N23" s="4" t="n"/>
      <c r="O23" s="4" t="n"/>
      <c r="P23" s="15">
        <f>SUM(P19,P21)</f>
        <v/>
      </c>
      <c r="Q23" s="15">
        <f>SUM(Q19,Q21)</f>
        <v/>
      </c>
      <c r="R23" s="4" t="n"/>
      <c r="S23" s="4" t="n"/>
      <c r="T23" s="4" t="n"/>
      <c r="U23" s="15">
        <f>SUM(U19,U21)</f>
        <v/>
      </c>
      <c r="V23" s="4" t="n"/>
    </row>
    <row r="25">
      <c r="C25" t="inlineStr">
        <is>
          <t>订单号:026G554548</t>
        </is>
      </c>
    </row>
    <row r="26">
      <c r="C26" t="inlineStr">
        <is>
          <t>柜号:WHSU7390118</t>
        </is>
      </c>
    </row>
    <row r="27">
      <c r="C27" t="inlineStr">
        <is>
          <t>封号:WHA4529810</t>
        </is>
      </c>
    </row>
  </sheetData>
  <mergeCells count="16">
    <mergeCell ref="F15:F16"/>
    <mergeCell ref="D15:D16"/>
    <mergeCell ref="T15:T16"/>
    <mergeCell ref="V15:V16"/>
    <mergeCell ref="M15:M16"/>
    <mergeCell ref="A15:A16"/>
    <mergeCell ref="S15:S16"/>
    <mergeCell ref="E15:E16"/>
    <mergeCell ref="C15:C16"/>
    <mergeCell ref="G15:G16"/>
    <mergeCell ref="H15:H16"/>
    <mergeCell ref="L15:L16"/>
    <mergeCell ref="R15:R16"/>
    <mergeCell ref="I15:K15"/>
    <mergeCell ref="U15:U16"/>
    <mergeCell ref="B15:B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2026-09-09T22:56:15Z</dcterms:created>
  <dcterms:modified xsi:type="dcterms:W3CDTF">2026-09-09T22:56:15Z</dcterms:modified>
</cp:coreProperties>
</file>