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2750d8932cdced4/Desktop/SPONSHORSHIP/2025/"/>
    </mc:Choice>
  </mc:AlternateContent>
  <xr:revisionPtr revIDLastSave="1494" documentId="13_ncr:1_{C9C3EA61-DBDB-46F9-957A-EF38DCB531C6}" xr6:coauthVersionLast="47" xr6:coauthVersionMax="47" xr10:uidLastSave="{0E027590-8826-475C-8982-7165DBFAB8D2}"/>
  <bookViews>
    <workbookView xWindow="-120" yWindow="-120" windowWidth="29040" windowHeight="15720" tabRatio="596" activeTab="1" xr2:uid="{00000000-000D-0000-FFFF-FFFF00000000}"/>
  </bookViews>
  <sheets>
    <sheet name="SUMMARY" sheetId="14" r:id="rId1"/>
    <sheet name="JAN'25" sheetId="1" r:id="rId2"/>
    <sheet name="FEB'25" sheetId="2" r:id="rId3"/>
    <sheet name="MAR'25" sheetId="4" r:id="rId4"/>
    <sheet name="Apr'25" sheetId="5" r:id="rId5"/>
    <sheet name="May'25" sheetId="7" r:id="rId6"/>
    <sheet name="Jun'25" sheetId="8" r:id="rId7"/>
    <sheet name="July'25" sheetId="9" r:id="rId8"/>
    <sheet name="Augt'25" sheetId="10" r:id="rId9"/>
    <sheet name="Sept'25" sheetId="11" r:id="rId10"/>
    <sheet name="Oct'25" sheetId="12" r:id="rId11"/>
    <sheet name="Nov'25" sheetId="13" r:id="rId12"/>
    <sheet name="Dec'25" sheetId="15" r:id="rId13"/>
  </sheets>
  <definedNames>
    <definedName name="_xlnm._FilterDatabase" localSheetId="4" hidden="1">'Apr''25'!$A$6:$L$27</definedName>
    <definedName name="_xlnm._FilterDatabase" localSheetId="8" hidden="1">'Augt''25'!$A$6:$L$33</definedName>
    <definedName name="_xlnm._FilterDatabase" localSheetId="12" hidden="1">'Dec''25'!$A$6:$L$34</definedName>
    <definedName name="_xlnm._FilterDatabase" localSheetId="2" hidden="1">'FEB''25'!$A$6:$K$20</definedName>
    <definedName name="_xlnm._FilterDatabase" localSheetId="1" hidden="1">'JAN''25'!$A$6:$L$25</definedName>
    <definedName name="_xlnm._FilterDatabase" localSheetId="7" hidden="1">'July''25'!$A$6:$L$25</definedName>
    <definedName name="_xlnm._FilterDatabase" localSheetId="6" hidden="1">'Jun''25'!$A$6:$L$32</definedName>
    <definedName name="_xlnm._FilterDatabase" localSheetId="3" hidden="1">'MAR''25'!$A$6:$L$19</definedName>
    <definedName name="_xlnm._FilterDatabase" localSheetId="5" hidden="1">'May''25'!$A$6:$L$20</definedName>
    <definedName name="_xlnm._FilterDatabase" localSheetId="11" hidden="1">'Nov''25'!$A$6:$L$24</definedName>
    <definedName name="_xlnm._FilterDatabase" localSheetId="10" hidden="1">'Oct''25'!$A$6:$L$24</definedName>
    <definedName name="_xlnm._FilterDatabase" localSheetId="9" hidden="1">'Sept''25'!$A$6:$L$24</definedName>
    <definedName name="_xlnm._FilterDatabase" localSheetId="0" hidden="1">SUMMARY!$A$6:$AA$7</definedName>
    <definedName name="_xlnm.Print_Area" localSheetId="0">SUMMARY!$A$2:$AA$29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" i="14" l="1"/>
  <c r="Z12" i="14"/>
  <c r="AA9" i="14"/>
  <c r="Z9" i="14"/>
  <c r="Y26" i="14"/>
  <c r="X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1" i="14"/>
  <c r="AA10" i="14"/>
  <c r="Z25" i="14"/>
  <c r="Z24" i="14"/>
  <c r="Z23" i="14"/>
  <c r="Z22" i="14"/>
  <c r="Z21" i="14"/>
  <c r="Z20" i="14"/>
  <c r="Z19" i="14"/>
  <c r="Z18" i="14"/>
  <c r="Z17" i="14"/>
  <c r="Z16" i="14"/>
  <c r="Z15" i="14"/>
  <c r="Z14" i="14"/>
  <c r="Z13" i="14"/>
  <c r="Z11" i="14"/>
  <c r="Z10" i="14"/>
  <c r="AA8" i="14"/>
  <c r="Z8" i="14"/>
  <c r="G36" i="15"/>
  <c r="F36" i="15"/>
  <c r="W26" i="14" l="1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G26" i="13"/>
  <c r="F26" i="13"/>
  <c r="C28" i="14" l="1"/>
  <c r="C29" i="14"/>
  <c r="Z26" i="14"/>
  <c r="AA26" i="14"/>
  <c r="G26" i="12"/>
  <c r="F26" i="12"/>
  <c r="G26" i="11"/>
  <c r="F26" i="11"/>
  <c r="G35" i="10"/>
  <c r="F35" i="10"/>
  <c r="G27" i="9"/>
  <c r="F27" i="9"/>
  <c r="G34" i="8"/>
  <c r="F34" i="8"/>
  <c r="G23" i="7"/>
  <c r="F23" i="7"/>
  <c r="G30" i="5" l="1"/>
  <c r="F30" i="5"/>
  <c r="F25" i="1" l="1"/>
  <c r="F22" i="2" l="1"/>
  <c r="F22" i="4"/>
  <c r="G22" i="4"/>
  <c r="G22" i="2"/>
  <c r="G25" i="1"/>
</calcChain>
</file>

<file path=xl/sharedStrings.xml><?xml version="1.0" encoding="utf-8"?>
<sst xmlns="http://schemas.openxmlformats.org/spreadsheetml/2006/main" count="1289" uniqueCount="619">
  <si>
    <t>SORENTO SDN BHD</t>
  </si>
  <si>
    <t>PROJECT SALES</t>
  </si>
  <si>
    <t>SALES AGENT</t>
  </si>
  <si>
    <t>CUSTOMER NAME</t>
  </si>
  <si>
    <t>PROJECT TITLE</t>
  </si>
  <si>
    <t>PROJECT VALUE</t>
  </si>
  <si>
    <t>SAMPLE PRICE</t>
  </si>
  <si>
    <t>EXPECTED YEAR OF DELIVERY</t>
  </si>
  <si>
    <t>OTM</t>
  </si>
  <si>
    <t>TUAH LEBAR DEVELOPMENT</t>
  </si>
  <si>
    <t>EMB EMPRESS SDN BHD</t>
  </si>
  <si>
    <t>SIGNATURE CABINET</t>
  </si>
  <si>
    <t>POSITIVE PLATFORM</t>
  </si>
  <si>
    <t>MAYLAND PROJECTS</t>
  </si>
  <si>
    <t>SUNSURIA</t>
  </si>
  <si>
    <t>SERI NOVA DEVELOPMENT</t>
  </si>
  <si>
    <t>WD LAND C/O PP CHIN</t>
  </si>
  <si>
    <t>SELANGOR DREDGING BERHAD</t>
  </si>
  <si>
    <t>LAND &amp; GENERAL BERHAD</t>
  </si>
  <si>
    <t>-</t>
  </si>
  <si>
    <t>TUNJUNG KB</t>
  </si>
  <si>
    <t>SG LONG RESIDENCE - PHASE 2</t>
  </si>
  <si>
    <t>GERMS PENANG</t>
  </si>
  <si>
    <t>KIA MATAHARI</t>
  </si>
  <si>
    <t>BANGSAR HILL PARK PHASE 2</t>
  </si>
  <si>
    <t>TRIO RESIDENCE</t>
  </si>
  <si>
    <t>D NOVA RESIDENCE SHOW UNIT</t>
  </si>
  <si>
    <t>LOFTHILL RESIDENCE-RAJA UDA 2</t>
  </si>
  <si>
    <t>ARMANI RESIDENCE SG LONG</t>
  </si>
  <si>
    <t>ARMANI RESIDENCE KL 3</t>
  </si>
  <si>
    <t>PLATINIUM GARDEN, SEPANG</t>
  </si>
  <si>
    <t>19 TREES, TAMAN MELAWATI</t>
  </si>
  <si>
    <t>ACT</t>
  </si>
  <si>
    <t>JUSTIN</t>
  </si>
  <si>
    <t>AMIRUL</t>
  </si>
  <si>
    <t>BRENDON</t>
  </si>
  <si>
    <t>KH LIM</t>
  </si>
  <si>
    <t>ERIC NG</t>
  </si>
  <si>
    <t xml:space="preserve">PS NO: </t>
  </si>
  <si>
    <t>PSSF25- 001</t>
  </si>
  <si>
    <t>PSSF25- 002</t>
  </si>
  <si>
    <t>PSSF25- 003</t>
  </si>
  <si>
    <t>PSSF25- 004</t>
  </si>
  <si>
    <t>PSSF25- 005</t>
  </si>
  <si>
    <t>PSSF25- 006</t>
  </si>
  <si>
    <t>PSSF25- 007</t>
  </si>
  <si>
    <t>PSSF25- 008</t>
  </si>
  <si>
    <t>PSSF25- 009</t>
  </si>
  <si>
    <t>PSSF25- 010</t>
  </si>
  <si>
    <t>PSSF25- 011</t>
  </si>
  <si>
    <t>PSSF25- 012</t>
  </si>
  <si>
    <t>PSSF25- 013</t>
  </si>
  <si>
    <t>PSSF25- 014</t>
  </si>
  <si>
    <t>PSSF25- 015</t>
  </si>
  <si>
    <t>PSSF25- 016</t>
  </si>
  <si>
    <t>PSSF25- 017</t>
  </si>
  <si>
    <t>FOR OTM ANNUAL DINNER</t>
  </si>
  <si>
    <t>GRAND TOTAL</t>
  </si>
  <si>
    <t>PSSF25- 019</t>
  </si>
  <si>
    <t>MASUKA BINA</t>
  </si>
  <si>
    <t>HUNZA PICC</t>
  </si>
  <si>
    <t>PSSF25- 020</t>
  </si>
  <si>
    <t>AUSTIN SENIBONG DEVELOPMENT</t>
  </si>
  <si>
    <t>CREST APARTMENT</t>
  </si>
  <si>
    <t>PSSF25- 021</t>
  </si>
  <si>
    <t>KCC DEVELOPMENT SDN BHD</t>
  </si>
  <si>
    <t>CADANGAN PEMBINAAN PANGSAPURI</t>
  </si>
  <si>
    <t>PSSF25- 022</t>
  </si>
  <si>
    <t>ASCOT HOTEL @ CAMERON</t>
  </si>
  <si>
    <t>PSSF25- 023</t>
  </si>
  <si>
    <t>AMVERTON</t>
  </si>
  <si>
    <t xml:space="preserve">BROADWISE CORPORATION </t>
  </si>
  <si>
    <t>PSSF25- 024</t>
  </si>
  <si>
    <t>WD LAND C/O PP CHIN HIN</t>
  </si>
  <si>
    <t>PLATINUM GARDEN, SEPANG</t>
  </si>
  <si>
    <t>PSSF25- 025</t>
  </si>
  <si>
    <t>19 TREES, TAMAN MELAWATI PHASE 2</t>
  </si>
  <si>
    <t>PSSF25- 026</t>
  </si>
  <si>
    <t>TKCA ARCHITECS</t>
  </si>
  <si>
    <t>PSSF25- 027</t>
  </si>
  <si>
    <t>SCIENTEX PARK SDN BHD</t>
  </si>
  <si>
    <t>MORI CHERAS (HULU LANGAT)-PHASE 1</t>
  </si>
  <si>
    <t>PSSF25- 028</t>
  </si>
  <si>
    <t>MTT PROPERTIES &amp; DEVELOPMENT SDN BHD</t>
  </si>
  <si>
    <t>BANDAR BARU AIR ITAM PUTIH, 1100 BALIK PULAU</t>
  </si>
  <si>
    <t>PSSF25- 029</t>
  </si>
  <si>
    <t>PSSF25- 030</t>
  </si>
  <si>
    <t>MAH SING PENANG</t>
  </si>
  <si>
    <t>FOR VIENNA VIEW DEVELOPMENT</t>
  </si>
  <si>
    <t xml:space="preserve">CINDY </t>
  </si>
  <si>
    <t>TERA</t>
  </si>
  <si>
    <t>JENNIFER</t>
  </si>
  <si>
    <t>PSSF25- 032</t>
  </si>
  <si>
    <t>PSSF25- 033</t>
  </si>
  <si>
    <t>PSSF25- 034</t>
  </si>
  <si>
    <t>PSSF25- 035</t>
  </si>
  <si>
    <t>PSSF25- 036</t>
  </si>
  <si>
    <t>PSSF25- 037</t>
  </si>
  <si>
    <t>PSSF25- 038</t>
  </si>
  <si>
    <t>PSSF25- 039</t>
  </si>
  <si>
    <t>PSSF25- 040</t>
  </si>
  <si>
    <t>PSSF25- 041</t>
  </si>
  <si>
    <t>PSSF25- 042</t>
  </si>
  <si>
    <t>PSSF25- 043</t>
  </si>
  <si>
    <t>SALES GALERY - MORI CHERAS (HULU LANGAT)</t>
  </si>
  <si>
    <t>PARAMOUNT CONSTRUCTION SDN BHD</t>
  </si>
  <si>
    <t>BB2-109U DSTH ASPERA ELITE PT76,808,81</t>
  </si>
  <si>
    <t>SCANWOLF FLOORING</t>
  </si>
  <si>
    <t>CINDY</t>
  </si>
  <si>
    <t xml:space="preserve">DEPARTMENT: </t>
  </si>
  <si>
    <t>DEPARTMENT:</t>
  </si>
  <si>
    <t>OTHERS</t>
  </si>
  <si>
    <t>CINDY LEE</t>
  </si>
  <si>
    <t>JAMYN</t>
  </si>
  <si>
    <t>JAY</t>
  </si>
  <si>
    <t>JOHNSON</t>
  </si>
  <si>
    <t>LEENA</t>
  </si>
  <si>
    <t>GRAND OPENING ( FLOWER)</t>
  </si>
  <si>
    <t>PSSF25- 018</t>
  </si>
  <si>
    <t>AIRMAS GROUP</t>
  </si>
  <si>
    <t>CADANGAN PEMBANGUNAN</t>
  </si>
  <si>
    <t>SHAHRUL</t>
  </si>
  <si>
    <t>PSSF25- 031</t>
  </si>
  <si>
    <t>BANGSAR HILL PARK</t>
  </si>
  <si>
    <t>MTT PROPERTIES &amp; DEVELOPMENT</t>
  </si>
  <si>
    <t xml:space="preserve">CADANGAN UNTUK MENDIRIKAN </t>
  </si>
  <si>
    <t>NON CUSTOMER- CHARITY</t>
  </si>
  <si>
    <t>CHARITY PROJECT</t>
  </si>
  <si>
    <t xml:space="preserve">OIB CONSTRUCTION </t>
  </si>
  <si>
    <t>MYRA IDAMAN</t>
  </si>
  <si>
    <t xml:space="preserve">HUP HUAT </t>
  </si>
  <si>
    <t>EUPE-VILLA NATURA PHASE 4C</t>
  </si>
  <si>
    <t>ADENLAND DEVELOPMENT</t>
  </si>
  <si>
    <t>ADENALDN KUNDANG SALES</t>
  </si>
  <si>
    <t>VESTLAND RESOURCES</t>
  </si>
  <si>
    <t>CADANGAN PEMBANGUNAN MEMBINA</t>
  </si>
  <si>
    <t>SALES GALLERY</t>
  </si>
  <si>
    <t>EMB/ VESTLAND RESOURCES</t>
  </si>
  <si>
    <t>PSSF25- 044</t>
  </si>
  <si>
    <t>PSSF25- 045</t>
  </si>
  <si>
    <t>PSSF25- 046</t>
  </si>
  <si>
    <t>PSSF25- 047</t>
  </si>
  <si>
    <t>PSSF25- 048</t>
  </si>
  <si>
    <t>SALES GALLERY - MORI CHERAS</t>
  </si>
  <si>
    <t>SUBANG PINAP</t>
  </si>
  <si>
    <t>NADI CERGAS SDN BHD</t>
  </si>
  <si>
    <t>CADANGAN PEMBANGUNAN PANGSAPURI</t>
  </si>
  <si>
    <t>GLOBAL INGRESS SDN BHD</t>
  </si>
  <si>
    <t>THE SEAL APARTMENT- BLOCK N</t>
  </si>
  <si>
    <t>STONIX SDN BHD</t>
  </si>
  <si>
    <t>PROPOSED 1 BLOCK 227 UNIT</t>
  </si>
  <si>
    <t>DNC MARKETING</t>
  </si>
  <si>
    <t>LSH SEGAR</t>
  </si>
  <si>
    <t>SALES GALLERY &amp; SHOW</t>
  </si>
  <si>
    <t>SHOWROOM</t>
  </si>
  <si>
    <t>MID JAN</t>
  </si>
  <si>
    <t>MOCK UP</t>
  </si>
  <si>
    <t>SPONSHER PROJECT</t>
  </si>
  <si>
    <t>SPONSER PROJECT</t>
  </si>
  <si>
    <t>SHOW UNIT</t>
  </si>
  <si>
    <t>SALES GALERY REPLACEMENT</t>
  </si>
  <si>
    <t>SENAI GARDEN</t>
  </si>
  <si>
    <t>DIRECTOR HOUSE OWN USED</t>
  </si>
  <si>
    <t>OTHERS : GOURMENT KITCHEN</t>
  </si>
  <si>
    <t>4 SET WC</t>
  </si>
  <si>
    <t>MOCKUP</t>
  </si>
  <si>
    <t>SHPWROOM</t>
  </si>
  <si>
    <t>PSSF25- 049</t>
  </si>
  <si>
    <t>PSSF25- 050</t>
  </si>
  <si>
    <t>PSSF25- 051</t>
  </si>
  <si>
    <t>PSSF25- 052</t>
  </si>
  <si>
    <t>PSSF25- 053</t>
  </si>
  <si>
    <t>PSSF25- 054</t>
  </si>
  <si>
    <t>PSSF25- 055</t>
  </si>
  <si>
    <t>PSSF25- 056</t>
  </si>
  <si>
    <t>PSSF25- 057</t>
  </si>
  <si>
    <t>PSSF25- 058</t>
  </si>
  <si>
    <t>PSSF25- 059</t>
  </si>
  <si>
    <t>PSSF25- 060</t>
  </si>
  <si>
    <t>PSSF25- 061</t>
  </si>
  <si>
    <t>PSSF25- 062</t>
  </si>
  <si>
    <t>COMMERCE HOUSE - THIS IS REQUIRED</t>
  </si>
  <si>
    <t>TROPICANA BUILDING</t>
  </si>
  <si>
    <t>MZEC DEVELOPMENT</t>
  </si>
  <si>
    <t>PAMAOUNT CONSTRUCTION</t>
  </si>
  <si>
    <t>GITALY SDN BHD (VASARI PAINT)</t>
  </si>
  <si>
    <t xml:space="preserve">OTM </t>
  </si>
  <si>
    <t>MASUKA BINA SDN BHD</t>
  </si>
  <si>
    <t>SIGNATURE CABINET SDN BHD</t>
  </si>
  <si>
    <t>CADANGAN PEMBANGUNAN MEMBINA GALERI</t>
  </si>
  <si>
    <t>REHDA NEGERI SEMBILAN</t>
  </si>
  <si>
    <t>TROPICANA GOLF &amp; COUNTRY</t>
  </si>
  <si>
    <t>PHASE 4A-24 UNITS LINK</t>
  </si>
  <si>
    <t>BB2-109U DSTH ASPERA</t>
  </si>
  <si>
    <t>CADANGAN PEMBANGUNAN PANGSAPURI 410 UNIT</t>
  </si>
  <si>
    <t>19 TREES MELAWATI PHASE 2</t>
  </si>
  <si>
    <t>HUNZA PICC SENZE</t>
  </si>
  <si>
    <t>PICC SALES GALLERY</t>
  </si>
  <si>
    <t>J SATINE SHOW UNIT</t>
  </si>
  <si>
    <t>ARMANI RESIDENCE</t>
  </si>
  <si>
    <t>SPONSER HALF TABLE</t>
  </si>
  <si>
    <t>SAMPLE UNIT</t>
  </si>
  <si>
    <t>PSSF25- 063</t>
  </si>
  <si>
    <t>PSSF25- 064</t>
  </si>
  <si>
    <t>PSSF25- 065</t>
  </si>
  <si>
    <t>PSSF25- 066</t>
  </si>
  <si>
    <t>PSSF25- 067</t>
  </si>
  <si>
    <t>PSSF25- 068</t>
  </si>
  <si>
    <t>PSSF25- 069</t>
  </si>
  <si>
    <t>PSSF25- 070</t>
  </si>
  <si>
    <t>PSSF25- 071</t>
  </si>
  <si>
    <t>PSSF25- 072</t>
  </si>
  <si>
    <t>PSSF25- 073</t>
  </si>
  <si>
    <t>PSSF25- 074</t>
  </si>
  <si>
    <t>PSSF25- 075</t>
  </si>
  <si>
    <t>KKGSAS &amp; SHAH ALAM</t>
  </si>
  <si>
    <t>MAJESTIC GROUP</t>
  </si>
  <si>
    <t>MAJESTIC GEN SPHERE</t>
  </si>
  <si>
    <t>SD ARA DAMANSARA</t>
  </si>
  <si>
    <t>ARRA RESIDENCE</t>
  </si>
  <si>
    <t>HILLCREST GARDENS SDN BHD</t>
  </si>
  <si>
    <t>988 UNITRS SERVICE APARTMENT</t>
  </si>
  <si>
    <t>RADIUM GLOBAL SDN BHD</t>
  </si>
  <si>
    <t>ARENA 2</t>
  </si>
  <si>
    <t>KEE LIN TRADING SDN BHD</t>
  </si>
  <si>
    <t>HELLVREST GARDENS</t>
  </si>
  <si>
    <t>HILLCREST BOTENIC - 988 UNITS</t>
  </si>
  <si>
    <t>CADANGAN PEMBANGUNAN YG MENGANDUNGI BLOK PANGASPURI</t>
  </si>
  <si>
    <t>PBAGUNAN HAKIKAT EMAS SDN BHD</t>
  </si>
  <si>
    <t>GOLDEN ARMANI</t>
  </si>
  <si>
    <t>ARMANI ARDER WOOD VELOVITY</t>
  </si>
  <si>
    <t>CHEE SENG PLUMBING (1999) SDN BHD</t>
  </si>
  <si>
    <t>ASUTIN REGENCY</t>
  </si>
  <si>
    <t>UPGRADE OFFICE TOILET</t>
  </si>
  <si>
    <t>PLATINIUM VICTORY DATO GARY</t>
  </si>
  <si>
    <t>FOR OWN USED</t>
  </si>
  <si>
    <t>KEE LIN OFFICE USE</t>
  </si>
  <si>
    <t>PSSF25- 076</t>
  </si>
  <si>
    <t>PSSF25- 077</t>
  </si>
  <si>
    <t>PSSF25- 078</t>
  </si>
  <si>
    <t>PSSF25- 079</t>
  </si>
  <si>
    <t>PSSF25- 080</t>
  </si>
  <si>
    <t>PSSF25- 081</t>
  </si>
  <si>
    <t>PSSF25- 082</t>
  </si>
  <si>
    <t>PSSF25- 083</t>
  </si>
  <si>
    <t>PSSF25- 084</t>
  </si>
  <si>
    <t>PSSF25- 085</t>
  </si>
  <si>
    <t>PSSF25- 086</t>
  </si>
  <si>
    <t>PSSF25- 087</t>
  </si>
  <si>
    <t>PSSF25- 088</t>
  </si>
  <si>
    <t>PSSF25- 089</t>
  </si>
  <si>
    <t>PSSF25- 090</t>
  </si>
  <si>
    <t>PSSF25- 091</t>
  </si>
  <si>
    <t>PSSF25- 092</t>
  </si>
  <si>
    <t>PSSF25- 093</t>
  </si>
  <si>
    <t>PSSF25- 094</t>
  </si>
  <si>
    <t>PSSF25- 095</t>
  </si>
  <si>
    <t>PSSF25- 096</t>
  </si>
  <si>
    <t>PSSF25- 097</t>
  </si>
  <si>
    <t>PSSF25- 098</t>
  </si>
  <si>
    <t>PSSF25- 099</t>
  </si>
  <si>
    <t>PSSF25- 100</t>
  </si>
  <si>
    <t>CK</t>
  </si>
  <si>
    <t>TITAS REALTY SDN BHD</t>
  </si>
  <si>
    <t>903 UNITS SERVICE APARTMENT</t>
  </si>
  <si>
    <t>SD ARA DAMANSARA DEV</t>
  </si>
  <si>
    <t>VESTLAND RESOURCES SDN BHD</t>
  </si>
  <si>
    <t>ALDER WOOD</t>
  </si>
  <si>
    <t>JADE GRAQPHIX</t>
  </si>
  <si>
    <t>GRATING SHOWROOM</t>
  </si>
  <si>
    <t>JRK GROUP</t>
  </si>
  <si>
    <t>JRK CELESTRIA &amp; JRK ELYSIA</t>
  </si>
  <si>
    <t>OIB CONTRUCTION</t>
  </si>
  <si>
    <t>MYRA DAHLIA</t>
  </si>
  <si>
    <t>RAWANG LAKES SDN BHD</t>
  </si>
  <si>
    <t>PHASE 5A</t>
  </si>
  <si>
    <t>SERI NOVA DEV</t>
  </si>
  <si>
    <t xml:space="preserve">D'NOVA RESIDENCE </t>
  </si>
  <si>
    <t>AUSTIN SENIBONG DEV</t>
  </si>
  <si>
    <t>CREST APARTMENT - BLOK B &amp; C</t>
  </si>
  <si>
    <t>TKCA ARCHITECT</t>
  </si>
  <si>
    <t>AR RIEN TAN</t>
  </si>
  <si>
    <t>CADANGAN MEMBINA GALERI SALES</t>
  </si>
  <si>
    <t>ARMANI HALLSON KLCC</t>
  </si>
  <si>
    <t>KGSAS @SHAH ALAM</t>
  </si>
  <si>
    <t>PEMBINAAN KARISMA PERWIRA</t>
  </si>
  <si>
    <t>KOMPLEXS ARENA SEREMBAN</t>
  </si>
  <si>
    <t>GD PAVILLION</t>
  </si>
  <si>
    <t>KL360</t>
  </si>
  <si>
    <t>BANGSAR HILL PARK DEVELOPMENT</t>
  </si>
  <si>
    <t>MONET MEADOW - SALES GALLERY</t>
  </si>
  <si>
    <t>CKH ENGINEERING SDN BHD</t>
  </si>
  <si>
    <t xml:space="preserve">CADANGAN </t>
  </si>
  <si>
    <t>PERTUBUHAN PENGANUT DEWA</t>
  </si>
  <si>
    <t>IOI - VEENA</t>
  </si>
  <si>
    <t>IOI PROPERTIES GROUP BHD</t>
  </si>
  <si>
    <t>ALYVIA</t>
  </si>
  <si>
    <t>SNO ARCHITECT</t>
  </si>
  <si>
    <t xml:space="preserve">212 PKNS CYBER VALLEY </t>
  </si>
  <si>
    <t xml:space="preserve">HILLCREST BOTANIQ SALES GALLERY </t>
  </si>
  <si>
    <t>HILLCREST BOTANIQ-988 UNITS SERVICE APARTMENT</t>
  </si>
  <si>
    <t>OFFICE TOILET RENOVATION</t>
  </si>
  <si>
    <t>SALES OFFICE</t>
  </si>
  <si>
    <t>FOR DONATION</t>
  </si>
  <si>
    <t>ARKITEK</t>
  </si>
  <si>
    <t>SHOWROOM OPENING HAMPER</t>
  </si>
  <si>
    <t>ADVERTISMENT</t>
  </si>
  <si>
    <t>PSSF25- 101</t>
  </si>
  <si>
    <t>PSSF25- 102</t>
  </si>
  <si>
    <t>PSSF25- 103</t>
  </si>
  <si>
    <t>PSSF25- 104</t>
  </si>
  <si>
    <t>PSSF25- 105</t>
  </si>
  <si>
    <t>PSSF25- 106</t>
  </si>
  <si>
    <t>PSSF25- 107</t>
  </si>
  <si>
    <t>PSSF25- 108</t>
  </si>
  <si>
    <t>PSSF25- 109</t>
  </si>
  <si>
    <t>PSSF25- 110</t>
  </si>
  <si>
    <t>PSSF25- 111</t>
  </si>
  <si>
    <t>PSSF25- 112</t>
  </si>
  <si>
    <t>PSSF25- 113</t>
  </si>
  <si>
    <t>PSSF25- 114</t>
  </si>
  <si>
    <t>PSSF25- 115</t>
  </si>
  <si>
    <t>PSSF25- 116</t>
  </si>
  <si>
    <t>PSSF25- 117</t>
  </si>
  <si>
    <t>PSSF25- 118</t>
  </si>
  <si>
    <t>PSSF25- 119</t>
  </si>
  <si>
    <t>REFURBISHEMENT WORK AT WISMA MTT 26, PENGKALAN WELD, 10300 PENANG</t>
  </si>
  <si>
    <t>YEW LEAN MARKETING SDN BHD</t>
  </si>
  <si>
    <t>MTT ( PHASE 5B) 28UNITS 2-STOREY TERRACE</t>
  </si>
  <si>
    <t>PARAMOUNT MEERA GRAND &amp; ASPERA ELITE</t>
  </si>
  <si>
    <t>VESTLAND RECOURCES SDN BHD</t>
  </si>
  <si>
    <t>KGSAS@ SHAH ALAM</t>
  </si>
  <si>
    <t>ANCUBIC PJ SDN BHD</t>
  </si>
  <si>
    <t>ROSEDALE AT AMBANG BOTANIK (976 UNITS SERVICE APARTMENT</t>
  </si>
  <si>
    <t>GABUNGAN HARTAMAS</t>
  </si>
  <si>
    <t>CADANGAN MEMBINA 44 UNIT RUMA TERES 2/12</t>
  </si>
  <si>
    <t>WELCOME DEVELOPMENT</t>
  </si>
  <si>
    <t>CADANGAN SKIM PERUMAHAN</t>
  </si>
  <si>
    <t>STEEL MERCHANTS SDN BHD</t>
  </si>
  <si>
    <t>PARKLANE GARDEN</t>
  </si>
  <si>
    <t>TCKA ARCHITECT</t>
  </si>
  <si>
    <t>51 UNIT RUMAH TERES</t>
  </si>
  <si>
    <t>KHOO SOON LEE</t>
  </si>
  <si>
    <t>KSL SETIA ALAM</t>
  </si>
  <si>
    <t>OIB CONTRUCTION SDN BHD</t>
  </si>
  <si>
    <t>OIB PURCHASING NEW OFFICE</t>
  </si>
  <si>
    <t xml:space="preserve">ANCUBIC VALLEY </t>
  </si>
  <si>
    <t>ROSALIE AT KOTA KEMUNING</t>
  </si>
  <si>
    <t>VISTA FLAME</t>
  </si>
  <si>
    <t>CADANGAN PINDAAN KEPADA PELAM KELULUSAN</t>
  </si>
  <si>
    <t>JUBIN CANTIK</t>
  </si>
  <si>
    <t>JIBIN CANTIK SHOWROOM COLLABORATE</t>
  </si>
  <si>
    <t>DATO OFFICE</t>
  </si>
  <si>
    <t xml:space="preserve">OTHERS </t>
  </si>
  <si>
    <t>SHOW UNIT + SALES GALLERY</t>
  </si>
  <si>
    <t>PURCHASING NEW OFFICE</t>
  </si>
  <si>
    <t>SHOW UNIT+SALES GALLERY</t>
  </si>
  <si>
    <t>OTHER</t>
  </si>
  <si>
    <t>SALES GALLERY OFFICE</t>
  </si>
  <si>
    <t>PSSF25- 120</t>
  </si>
  <si>
    <t>PSSF25- 121</t>
  </si>
  <si>
    <t>PSSF25- 122</t>
  </si>
  <si>
    <t>PSSF25- 123</t>
  </si>
  <si>
    <t>CADANGAN MENDIRIKAN FASA 1</t>
  </si>
  <si>
    <t>JRK CELEDTRIA &amp; JRK ELYSIA</t>
  </si>
  <si>
    <t>PSSF25- 124</t>
  </si>
  <si>
    <t>PSSF25- 125</t>
  </si>
  <si>
    <t>PSSF25- 126</t>
  </si>
  <si>
    <t>PSSF25- 127</t>
  </si>
  <si>
    <t>PSSF25- 128</t>
  </si>
  <si>
    <t>PSSF25- 129</t>
  </si>
  <si>
    <t>PSSF25- 130</t>
  </si>
  <si>
    <t>PSSF25- 131</t>
  </si>
  <si>
    <t>PSSF25- 132</t>
  </si>
  <si>
    <t>PSSF25- 133</t>
  </si>
  <si>
    <t>PSSF25- 134</t>
  </si>
  <si>
    <t>PSSF25- 135</t>
  </si>
  <si>
    <t>PSSF25- 136</t>
  </si>
  <si>
    <t>PSSF25- 137</t>
  </si>
  <si>
    <t>PSSF25- 138</t>
  </si>
  <si>
    <t>PSSF25- 139</t>
  </si>
  <si>
    <t>PSSF25- 140</t>
  </si>
  <si>
    <t>PSSF25- 141</t>
  </si>
  <si>
    <t>PSSF25- 142</t>
  </si>
  <si>
    <t>PSSF25- 143</t>
  </si>
  <si>
    <t>PSSF25- 144</t>
  </si>
  <si>
    <t>PSSF25- 145</t>
  </si>
  <si>
    <t>PSSF25- 146</t>
  </si>
  <si>
    <t>PSSF25- 147</t>
  </si>
  <si>
    <t>PSSF25- 148</t>
  </si>
  <si>
    <t>PSSF25- 149</t>
  </si>
  <si>
    <t xml:space="preserve">JRK CELEDTRIA </t>
  </si>
  <si>
    <t xml:space="preserve">WORLDBESCO CONSTRUCTION </t>
  </si>
  <si>
    <t xml:space="preserve">ANZEN RESIDENCE 672 UNITS </t>
  </si>
  <si>
    <t xml:space="preserve">GOLDEN ARMANI GROUP </t>
  </si>
  <si>
    <t xml:space="preserve">PELANA TENGGARA </t>
  </si>
  <si>
    <t xml:space="preserve">MANDARIN RESIDENCE </t>
  </si>
  <si>
    <t xml:space="preserve">JUBIN CANTIK </t>
  </si>
  <si>
    <t>HUA YANG</t>
  </si>
  <si>
    <t>TAMAN ARA SAUJANA</t>
  </si>
  <si>
    <t xml:space="preserve">ARMANI SIGNATURE </t>
  </si>
  <si>
    <t xml:space="preserve">PERMAS JAYA SDN BHD </t>
  </si>
  <si>
    <t>BAYU PERMAS RESIDENCE</t>
  </si>
  <si>
    <t xml:space="preserve">ARMANI RESIDENCE SETIA ALAM </t>
  </si>
  <si>
    <t>PARAMOUNT CONSTRUCTION</t>
  </si>
  <si>
    <t xml:space="preserve">PARAMOUNT SALES GALLERY </t>
  </si>
  <si>
    <t xml:space="preserve">SINERGI DAYANG SDN BHD </t>
  </si>
  <si>
    <t>CADANGAN PINDAAN KEPADA PELAN</t>
  </si>
  <si>
    <t xml:space="preserve">ECO HORIZON SDN BHD </t>
  </si>
  <si>
    <t xml:space="preserve">ECO HORIZON SALES GALLERY TOILET </t>
  </si>
  <si>
    <t>TUKANG BINA JAYA SDN BHD</t>
  </si>
  <si>
    <t xml:space="preserve">SANDVILLE RESIDENCE 165 UNIT </t>
  </si>
  <si>
    <t xml:space="preserve">JRK GROUP </t>
  </si>
  <si>
    <t xml:space="preserve">JRK CELESTRIA </t>
  </si>
  <si>
    <t>YUWANG GROUP</t>
  </si>
  <si>
    <t xml:space="preserve">SEMANJA RESIDENCE </t>
  </si>
  <si>
    <t xml:space="preserve">PIPEWAY ENGINEERING </t>
  </si>
  <si>
    <t xml:space="preserve">LAGUNA BAY RESIDENCES </t>
  </si>
  <si>
    <t xml:space="preserve">SKYGATE PROPERTIES SDN BHD </t>
  </si>
  <si>
    <t>CITY OF DREAM</t>
  </si>
  <si>
    <t>CADANGAN PINDAAN KEPADA KELULUSAN</t>
  </si>
  <si>
    <t xml:space="preserve">WELCOME DEVELOPMENT  </t>
  </si>
  <si>
    <t>CADANGAN SKIM PERUMAHAN KOMUNITI</t>
  </si>
  <si>
    <t xml:space="preserve">SHOW UNIT </t>
  </si>
  <si>
    <t>GRAND LAUNCHING</t>
  </si>
  <si>
    <t>PRAYING FEST</t>
  </si>
  <si>
    <t xml:space="preserve">MOCKUP UNIT </t>
  </si>
  <si>
    <t xml:space="preserve">SALES GALLERY &amp; SHOW UNIT </t>
  </si>
  <si>
    <t xml:space="preserve">IJM BUILDING </t>
  </si>
  <si>
    <t>PSSF25- 150</t>
  </si>
  <si>
    <t>PSSF25- 151</t>
  </si>
  <si>
    <t>PSSF25- 152</t>
  </si>
  <si>
    <t>PSSF25- 153</t>
  </si>
  <si>
    <t>PSSF25- 154</t>
  </si>
  <si>
    <t>PSSF25- 155</t>
  </si>
  <si>
    <t>PSSF25- 156</t>
  </si>
  <si>
    <t>PSSF25- 157</t>
  </si>
  <si>
    <t>PSSF25- 158</t>
  </si>
  <si>
    <t>PSSF25- 159</t>
  </si>
  <si>
    <t>SENIBONG HILLS</t>
  </si>
  <si>
    <t>COVE- C2-1181 UNITS</t>
  </si>
  <si>
    <t>ARMANI SIGNATURE</t>
  </si>
  <si>
    <t>PREMIEREX SDN BHD</t>
  </si>
  <si>
    <t>PREMIEREX KIMORI RESIDENCE</t>
  </si>
  <si>
    <t>MAH SING TRADING</t>
  </si>
  <si>
    <t>CHARITY FUNDRAISING DINNER</t>
  </si>
  <si>
    <t>HONG BEE HARDWARE</t>
  </si>
  <si>
    <t>903 UNIT SERVICE APARTMENT</t>
  </si>
  <si>
    <t>HUP HUAT (DEVELOPER: UEPE)</t>
  </si>
  <si>
    <t>UEPE - VILLA NATURA PHASE 4C</t>
  </si>
  <si>
    <t>EO KARISMA ( CASH TERM)</t>
  </si>
  <si>
    <t>TAMAN KASTURI</t>
  </si>
  <si>
    <t>LAGUNA BAY RESIDENCE</t>
  </si>
  <si>
    <t>ZALAM CORPORATION</t>
  </si>
  <si>
    <t>DIRECTOR OFFICE TOILET</t>
  </si>
  <si>
    <t>EMB</t>
  </si>
  <si>
    <t>ROSEDALE AT AMBANG BOTANIK (976 UNITS SERVICE APARTMENT)</t>
  </si>
  <si>
    <t xml:space="preserve"> </t>
  </si>
  <si>
    <t>INFRASTRAITS SDN BHD</t>
  </si>
  <si>
    <t>SALES OFFICE &amp; GALLERY</t>
  </si>
  <si>
    <t>SPONSORSHIP</t>
  </si>
  <si>
    <t>PSSF25- 160</t>
  </si>
  <si>
    <t>PSSF25- 161</t>
  </si>
  <si>
    <t>PSSF25- 162</t>
  </si>
  <si>
    <t>PSSF25- 163</t>
  </si>
  <si>
    <t>PSSF25- 164</t>
  </si>
  <si>
    <t>PSSF25- 165</t>
  </si>
  <si>
    <t>PSSF25- 166</t>
  </si>
  <si>
    <t>PSSF25- 167</t>
  </si>
  <si>
    <t>PSSF25- 168</t>
  </si>
  <si>
    <t>PSSF25- 169</t>
  </si>
  <si>
    <t xml:space="preserve">M SUMMIT GROUP </t>
  </si>
  <si>
    <t>ISKANDAR INVESTMENT BERHAD</t>
  </si>
  <si>
    <t>LEE MIN STEEL</t>
  </si>
  <si>
    <t>ISKANDAR INVESTMENT BERHAD/ KIMLUN SDN BHD</t>
  </si>
  <si>
    <t>THREEKA CIRCLE SDN BHD</t>
  </si>
  <si>
    <t>EMB EMPRESS</t>
  </si>
  <si>
    <t>IOI PROPERTIES</t>
  </si>
  <si>
    <t>APEX CONNECTION SDN BHD</t>
  </si>
  <si>
    <t>MATRIX EXCELCON</t>
  </si>
  <si>
    <t>M SUMMIT GROUP 25TH ANNIVERSRY</t>
  </si>
  <si>
    <t>250U TOWN HOUSE TAMAN KOTA MASAI</t>
  </si>
  <si>
    <t>LSH-SENTUL RIA</t>
  </si>
  <si>
    <t>CLIENT SHOWROOM RENOVATION</t>
  </si>
  <si>
    <t>JRK CELESTRIA</t>
  </si>
  <si>
    <t>ARMANI HALLSON</t>
  </si>
  <si>
    <t>ADELILA 4 - TRANSLOYAL GROUP</t>
  </si>
  <si>
    <t>TO REPLACE ITS ACUAL MOCK UP</t>
  </si>
  <si>
    <t>BOUQUET</t>
  </si>
  <si>
    <t xml:space="preserve">MOCKUP </t>
  </si>
  <si>
    <t>PSSF25- 170</t>
  </si>
  <si>
    <t>PSSF25- 171</t>
  </si>
  <si>
    <t>PSSF25- 172</t>
  </si>
  <si>
    <t>PSSF25- 173</t>
  </si>
  <si>
    <t>PSSF25- 174</t>
  </si>
  <si>
    <t>VESTLAND RESOURCES SDN BHD/ EMB</t>
  </si>
  <si>
    <t>KGSAS @ SHAH ALAM</t>
  </si>
  <si>
    <t>SENIBONG HILLS DEVELOPMENT SDN BHD</t>
  </si>
  <si>
    <t>THE WATERWAY PEAK</t>
  </si>
  <si>
    <t>LOUISE OWN HOUSE SPONSOR</t>
  </si>
  <si>
    <t>PSSF25- 175</t>
  </si>
  <si>
    <t>PINNACLE HOMES SDN BHD</t>
  </si>
  <si>
    <t>OFFICE RENOVATION</t>
  </si>
  <si>
    <t>PSSF25- 176</t>
  </si>
  <si>
    <t>PSSF25- 177</t>
  </si>
  <si>
    <t>PSSF25- 178</t>
  </si>
  <si>
    <t>PSSF25- 179</t>
  </si>
  <si>
    <t>PSSF25- 180</t>
  </si>
  <si>
    <t>PSSF25- 181</t>
  </si>
  <si>
    <t>PSSF25- 182</t>
  </si>
  <si>
    <t>PSSF25- 183</t>
  </si>
  <si>
    <t>PSSF25- 184</t>
  </si>
  <si>
    <t>PSSF25- 185</t>
  </si>
  <si>
    <t>PSSF25- 186</t>
  </si>
  <si>
    <t>PSSF25- 187</t>
  </si>
  <si>
    <t>PSSF25- 188</t>
  </si>
  <si>
    <t>PSSF25- 189</t>
  </si>
  <si>
    <t>PSSF25- 190</t>
  </si>
  <si>
    <t>WELCOME DEVELOPMENT SDN BHD</t>
  </si>
  <si>
    <t>SKIM PERUMAHAN</t>
  </si>
  <si>
    <t>PINNAPLE HOMES SDN BHD</t>
  </si>
  <si>
    <t>OFFICE RENOVATION -ADD</t>
  </si>
  <si>
    <t>MELATI EHSAN S/B</t>
  </si>
  <si>
    <t>990 BAYU SELAYANG</t>
  </si>
  <si>
    <t>OIB CONSTRUCTION SDN BHD</t>
  </si>
  <si>
    <t>MYRA SUAJANA SALES GALLERY</t>
  </si>
  <si>
    <t>CHYE SENG PROPERTY &amp; DEVELOPMENT</t>
  </si>
  <si>
    <t>PERMOHONANA KEBENARAN MERANCANG</t>
  </si>
  <si>
    <t>AZZA MEWAH DEVELOPMENT</t>
  </si>
  <si>
    <t>TAMAN KELISA MEWAH</t>
  </si>
  <si>
    <t>SELANGOR DREGING BERHAD</t>
  </si>
  <si>
    <t>DAMAI RESIDENCES AT TAMAN MELAWATI</t>
  </si>
  <si>
    <t>KIN TONG REALTY SDN BHD</t>
  </si>
  <si>
    <t>TAMAN RIA @ TANGKAK , SEROM</t>
  </si>
  <si>
    <t>CKH OWN OFFICE USE</t>
  </si>
  <si>
    <t>KENWEALTH TRADING SDN BHD</t>
  </si>
  <si>
    <t>COUNCIL HOME @ PASAR CHERAS - JLN SIAKAP</t>
  </si>
  <si>
    <t>JRK GROUP OF COMPANY</t>
  </si>
  <si>
    <t>JRK CELESIA</t>
  </si>
  <si>
    <t>CPI LAND - FOR THIS PROJECT</t>
  </si>
  <si>
    <t>TUAN 4 IN DDESA PETALING</t>
  </si>
  <si>
    <t>OFFICE</t>
  </si>
  <si>
    <t xml:space="preserve">RENOVATION </t>
  </si>
  <si>
    <t>GRAND OPENING</t>
  </si>
  <si>
    <t>PROJECT SALES ( Sponshorship)</t>
  </si>
  <si>
    <t>JAN'25</t>
  </si>
  <si>
    <t>TOTAL VALUE (BY SALESMAN)</t>
  </si>
  <si>
    <t>JAYMYN</t>
  </si>
  <si>
    <t>JEREMY TEO</t>
  </si>
  <si>
    <t>BASER</t>
  </si>
  <si>
    <t>TOTAL SALES</t>
  </si>
  <si>
    <t>S</t>
  </si>
  <si>
    <t>PSSF25- 191</t>
  </si>
  <si>
    <t>PSSF25- 192</t>
  </si>
  <si>
    <t>PSSF25- 193</t>
  </si>
  <si>
    <t>PSSF25- 194</t>
  </si>
  <si>
    <t>PSSF25- 195</t>
  </si>
  <si>
    <t>PSSF25- 196</t>
  </si>
  <si>
    <t>PSSF25- 197</t>
  </si>
  <si>
    <t>PSSF25- 198</t>
  </si>
  <si>
    <t>PSSF25- 199</t>
  </si>
  <si>
    <t>PSSF25- 200</t>
  </si>
  <si>
    <t>PSSF25- 201</t>
  </si>
  <si>
    <t>PSSF25- 202</t>
  </si>
  <si>
    <t>PSSF25- 203</t>
  </si>
  <si>
    <t>PSSF25- 204</t>
  </si>
  <si>
    <t>PSSF25- 205</t>
  </si>
  <si>
    <t>PSSF25- 206</t>
  </si>
  <si>
    <t>PSSF25- 207</t>
  </si>
  <si>
    <t>PSSF25- 208</t>
  </si>
  <si>
    <t>PSSF25- 209</t>
  </si>
  <si>
    <t>PSSF25- 210</t>
  </si>
  <si>
    <t>PSSF25- 211</t>
  </si>
  <si>
    <t>PSSF25- 212</t>
  </si>
  <si>
    <t>PSSF25- 213</t>
  </si>
  <si>
    <t>PSSF25- 214</t>
  </si>
  <si>
    <t>PINNACLE ARA DAMANSARA</t>
  </si>
  <si>
    <t>PINNACLE SUBANG</t>
  </si>
  <si>
    <t>NADI CERGAS</t>
  </si>
  <si>
    <t>FOR NADI CERGAS</t>
  </si>
  <si>
    <t>BUILD ART MARKETING</t>
  </si>
  <si>
    <t>NATURE CENTURY DEVELOPMENT</t>
  </si>
  <si>
    <t>KERJAYA PROSPEK</t>
  </si>
  <si>
    <t>ASPEN VISION CITY</t>
  </si>
  <si>
    <t xml:space="preserve">PARAMOUNT CONSTRUCTION </t>
  </si>
  <si>
    <t>PARAMOUNT EMBUN HILL PHASE 2</t>
  </si>
  <si>
    <t>WP BINA SDN BHD</t>
  </si>
  <si>
    <t>VISTA ANGSANA</t>
  </si>
  <si>
    <t>UEM SUNRISE</t>
  </si>
  <si>
    <t>119U SERENE HEIGHT</t>
  </si>
  <si>
    <t>PESONA METRO SDN BHD</t>
  </si>
  <si>
    <t>REN RESIDENCE &amp; 3438 UNITS RUMAH WIP</t>
  </si>
  <si>
    <t>HOLY LIGHT PRESBYTERIAN CHURCH</t>
  </si>
  <si>
    <t>CHURCH PROJECT</t>
  </si>
  <si>
    <t>PARAMOUNT EMBUN HILLS</t>
  </si>
  <si>
    <t>TUAN PAVILLION (SOLOK RESIDENCE 280UNIT)</t>
  </si>
  <si>
    <t>KENWEALTH TRADING</t>
  </si>
  <si>
    <t>TAIGA RESIDENCE-MOCK UP</t>
  </si>
  <si>
    <t>CADANGAN PEMBANGUNAN UNTUK MEMBINA</t>
  </si>
  <si>
    <t>PROJECT DELIVERY THIS YEAR 2025</t>
  </si>
  <si>
    <t>LOTUS SANIWARES ( FAR EAST) SDN BHD</t>
  </si>
  <si>
    <t>LOTUS SANIWARE STAFF ANNUAL DINNER</t>
  </si>
  <si>
    <t>PARAMOUNT SALES GALLERY</t>
  </si>
  <si>
    <t>CRESCENDO CORPORSATION</t>
  </si>
  <si>
    <t>CRESCENDO MAIN OFFICE</t>
  </si>
  <si>
    <t>EILEEN LIM</t>
  </si>
  <si>
    <t>IN EXCHANGE FOR EVENT HALL</t>
  </si>
  <si>
    <t>GM'S HOUSE</t>
  </si>
  <si>
    <t>FLOWER STAND</t>
  </si>
  <si>
    <t>HOUSE RENOVATION</t>
  </si>
  <si>
    <t>ANNIVERSARY DINNER</t>
  </si>
  <si>
    <t>PUBLIC AREA</t>
  </si>
  <si>
    <t>MOCKUP LEVEL 2</t>
  </si>
  <si>
    <t>COMPANY ANNUAL DINNER</t>
  </si>
  <si>
    <t>STAFF ANNUAL DINNER</t>
  </si>
  <si>
    <t>Dec'25</t>
  </si>
  <si>
    <t>GRAND TOTAL PROJECT VALUE JAN-DEC'25</t>
  </si>
  <si>
    <t>GRAND TOTAL SAMPLE JAN-DEC'25</t>
  </si>
  <si>
    <t>Jan'25 to Dec'25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</si>
</sst>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M&quot;* #,##0.00_-;\-&quot;RM&quot;* #,##0.00_-;_-&quot;RM&quot;* &quot;-&quot;??_-;_-@_-"/>
    <numFmt numFmtId="164" formatCode="_-[$RM-4409]* #,##0.00_-;\-[$RM-4409]* #,##0.00_-;_-[$RM-4409]* &quot;-&quot;??_-;_-@_-"/>
  </numFmts>
  <fonts count="2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Bell MT"/>
      <family val="1"/>
    </font>
    <font>
      <b/>
      <sz val="22"/>
      <color theme="1"/>
      <name val="Algerian"/>
      <family val="5"/>
    </font>
    <font>
      <b/>
      <sz val="2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color rgb="FFFF0000"/>
      <name val="Bell MT"/>
      <family val="1"/>
    </font>
    <font>
      <b/>
      <sz val="22"/>
      <color rgb="FFFF0000"/>
      <name val="Algerian"/>
      <family val="5"/>
    </font>
    <font>
      <b/>
      <sz val="2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mbria"/>
      <family val="1"/>
    </font>
    <font>
      <sz val="12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</patternFill>
    </fill>
    <fill>
      <patternFill patternType="solid">
        <fgColor theme="1" tint="0.49998474074526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7" xfId="0" applyBorder="1"/>
    <xf numFmtId="0" fontId="4" fillId="2" borderId="19" xfId="0" applyFont="1" applyFill="1" applyBorder="1"/>
    <xf numFmtId="0" fontId="0" fillId="0" borderId="20" xfId="0" applyBorder="1"/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4" fontId="0" fillId="0" borderId="12" xfId="0" applyNumberFormat="1" applyBorder="1" applyAlignment="1">
      <alignment horizontal="left" vertical="center"/>
    </xf>
    <xf numFmtId="164" fontId="0" fillId="0" borderId="14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4" fontId="0" fillId="0" borderId="15" xfId="0" applyNumberFormat="1" applyBorder="1"/>
    <xf numFmtId="164" fontId="0" fillId="0" borderId="18" xfId="0" applyNumberFormat="1" applyBorder="1"/>
    <xf numFmtId="4" fontId="0" fillId="0" borderId="16" xfId="0" applyNumberFormat="1" applyBorder="1" applyAlignment="1">
      <alignment horizontal="left" vertical="center"/>
    </xf>
    <xf numFmtId="164" fontId="0" fillId="0" borderId="12" xfId="1" applyNumberFormat="1" applyFont="1" applyBorder="1" applyAlignment="1">
      <alignment horizontal="left" vertical="center"/>
    </xf>
    <xf numFmtId="0" fontId="4" fillId="2" borderId="11" xfId="0" applyFont="1" applyFill="1" applyBorder="1"/>
    <xf numFmtId="0" fontId="4" fillId="2" borderId="11" xfId="0" quotePrefix="1" applyFont="1" applyFill="1" applyBorder="1"/>
    <xf numFmtId="0" fontId="0" fillId="0" borderId="2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26" xfId="0" applyFont="1" applyBorder="1"/>
    <xf numFmtId="164" fontId="3" fillId="0" borderId="10" xfId="0" applyNumberFormat="1" applyFont="1" applyBorder="1"/>
    <xf numFmtId="164" fontId="0" fillId="0" borderId="12" xfId="0" applyNumberFormat="1" applyBorder="1" applyAlignment="1">
      <alignment horizontal="left" vertical="center"/>
    </xf>
    <xf numFmtId="0" fontId="3" fillId="0" borderId="2" xfId="0" applyFont="1" applyBorder="1"/>
    <xf numFmtId="164" fontId="3" fillId="0" borderId="1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26" xfId="0" applyNumberFormat="1" applyFont="1" applyBorder="1"/>
    <xf numFmtId="0" fontId="0" fillId="0" borderId="17" xfId="0" applyBorder="1" applyAlignment="1">
      <alignment horizontal="left" vertical="center"/>
    </xf>
    <xf numFmtId="0" fontId="8" fillId="2" borderId="4" xfId="0" applyFont="1" applyFill="1" applyBorder="1" applyAlignment="1">
      <alignment horizontal="center"/>
    </xf>
    <xf numFmtId="164" fontId="0" fillId="0" borderId="23" xfId="0" applyNumberFormat="1" applyBorder="1" applyAlignment="1">
      <alignment horizontal="right"/>
    </xf>
    <xf numFmtId="164" fontId="0" fillId="0" borderId="24" xfId="0" applyNumberFormat="1" applyBorder="1" applyAlignment="1">
      <alignment horizontal="right"/>
    </xf>
    <xf numFmtId="164" fontId="0" fillId="0" borderId="24" xfId="0" applyNumberFormat="1" applyBorder="1"/>
    <xf numFmtId="164" fontId="0" fillId="0" borderId="25" xfId="0" applyNumberFormat="1" applyBorder="1"/>
    <xf numFmtId="164" fontId="3" fillId="0" borderId="0" xfId="0" applyNumberFormat="1" applyFont="1"/>
    <xf numFmtId="0" fontId="0" fillId="0" borderId="28" xfId="0" applyBorder="1" applyAlignment="1">
      <alignment horizontal="left" vertical="center"/>
    </xf>
    <xf numFmtId="0" fontId="4" fillId="2" borderId="29" xfId="0" applyFont="1" applyFill="1" applyBorder="1"/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0" fillId="4" borderId="0" xfId="0" applyFill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" fontId="3" fillId="0" borderId="26" xfId="0" applyNumberFormat="1" applyFont="1" applyBorder="1"/>
    <xf numFmtId="0" fontId="8" fillId="2" borderId="3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/>
    </xf>
    <xf numFmtId="0" fontId="0" fillId="0" borderId="33" xfId="0" applyBorder="1" applyAlignment="1">
      <alignment horizontal="left" vertical="center"/>
    </xf>
    <xf numFmtId="164" fontId="0" fillId="0" borderId="19" xfId="0" applyNumberFormat="1" applyBorder="1" applyAlignment="1">
      <alignment horizontal="left" vertical="center"/>
    </xf>
    <xf numFmtId="4" fontId="0" fillId="0" borderId="20" xfId="0" applyNumberFormat="1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0" fillId="0" borderId="19" xfId="0" applyBorder="1" applyAlignment="1">
      <alignment horizontal="left" vertical="center" wrapText="1"/>
    </xf>
    <xf numFmtId="0" fontId="0" fillId="0" borderId="34" xfId="0" applyBorder="1"/>
    <xf numFmtId="0" fontId="0" fillId="0" borderId="15" xfId="0" applyBorder="1"/>
    <xf numFmtId="17" fontId="0" fillId="0" borderId="11" xfId="0" applyNumberFormat="1" applyBorder="1" applyAlignment="1">
      <alignment horizontal="left" vertical="center"/>
    </xf>
    <xf numFmtId="0" fontId="10" fillId="0" borderId="11" xfId="2" applyBorder="1" applyAlignment="1">
      <alignment horizontal="left" vertical="center" wrapText="1"/>
    </xf>
    <xf numFmtId="164" fontId="0" fillId="0" borderId="0" xfId="0" applyNumberFormat="1"/>
    <xf numFmtId="164" fontId="0" fillId="0" borderId="19" xfId="0" applyNumberFormat="1" applyBorder="1" applyAlignment="1">
      <alignment horizontal="left" vertical="center" wrapText="1"/>
    </xf>
    <xf numFmtId="0" fontId="11" fillId="0" borderId="11" xfId="2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64" fontId="0" fillId="0" borderId="13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4" fontId="0" fillId="0" borderId="11" xfId="0" applyNumberFormat="1" applyBorder="1" applyAlignment="1">
      <alignment horizontal="left" vertical="center"/>
    </xf>
    <xf numFmtId="164" fontId="0" fillId="0" borderId="11" xfId="0" applyNumberFormat="1" applyBorder="1" applyAlignment="1">
      <alignment horizontal="left"/>
    </xf>
    <xf numFmtId="0" fontId="1" fillId="2" borderId="2" xfId="0" applyFont="1" applyFill="1" applyBorder="1" applyAlignment="1">
      <alignment wrapText="1"/>
    </xf>
    <xf numFmtId="0" fontId="15" fillId="2" borderId="1" xfId="0" applyFont="1" applyFill="1" applyBorder="1"/>
    <xf numFmtId="0" fontId="15" fillId="2" borderId="2" xfId="0" applyFont="1" applyFill="1" applyBorder="1"/>
    <xf numFmtId="0" fontId="15" fillId="2" borderId="4" xfId="0" applyFont="1" applyFill="1" applyBorder="1"/>
    <xf numFmtId="0" fontId="15" fillId="2" borderId="3" xfId="0" applyFont="1" applyFill="1" applyBorder="1"/>
    <xf numFmtId="0" fontId="16" fillId="3" borderId="38" xfId="0" applyFont="1" applyFill="1" applyBorder="1"/>
    <xf numFmtId="0" fontId="16" fillId="6" borderId="38" xfId="0" applyFont="1" applyFill="1" applyBorder="1"/>
    <xf numFmtId="49" fontId="17" fillId="7" borderId="29" xfId="0" applyNumberFormat="1" applyFont="1" applyFill="1" applyBorder="1" applyAlignment="1">
      <alignment horizontal="left" vertical="center" readingOrder="1"/>
    </xf>
    <xf numFmtId="164" fontId="0" fillId="0" borderId="29" xfId="0" applyNumberFormat="1" applyBorder="1"/>
    <xf numFmtId="164" fontId="0" fillId="0" borderId="29" xfId="0" applyNumberFormat="1" applyBorder="1" applyAlignment="1">
      <alignment horizontal="left" vertical="center"/>
    </xf>
    <xf numFmtId="164" fontId="0" fillId="0" borderId="33" xfId="0" applyNumberFormat="1" applyBorder="1" applyAlignment="1">
      <alignment horizontal="left" vertical="center"/>
    </xf>
    <xf numFmtId="164" fontId="0" fillId="0" borderId="39" xfId="0" applyNumberFormat="1" applyBorder="1" applyAlignment="1">
      <alignment horizontal="left" vertical="center"/>
    </xf>
    <xf numFmtId="164" fontId="0" fillId="3" borderId="24" xfId="0" applyNumberFormat="1" applyFill="1" applyBorder="1"/>
    <xf numFmtId="164" fontId="18" fillId="6" borderId="40" xfId="0" applyNumberFormat="1" applyFont="1" applyFill="1" applyBorder="1"/>
    <xf numFmtId="49" fontId="17" fillId="7" borderId="11" xfId="0" applyNumberFormat="1" applyFont="1" applyFill="1" applyBorder="1" applyAlignment="1">
      <alignment horizontal="left" vertical="center" readingOrder="1"/>
    </xf>
    <xf numFmtId="44" fontId="0" fillId="0" borderId="11" xfId="1" applyFont="1" applyBorder="1" applyAlignment="1">
      <alignment horizontal="left" vertical="center"/>
    </xf>
    <xf numFmtId="164" fontId="0" fillId="0" borderId="41" xfId="0" applyNumberFormat="1" applyBorder="1" applyAlignment="1">
      <alignment horizontal="left" vertical="center"/>
    </xf>
    <xf numFmtId="164" fontId="0" fillId="0" borderId="11" xfId="0" applyNumberFormat="1" applyBorder="1" applyAlignment="1">
      <alignment horizontal="right"/>
    </xf>
    <xf numFmtId="164" fontId="0" fillId="0" borderId="11" xfId="1" applyNumberFormat="1" applyFont="1" applyBorder="1" applyAlignment="1">
      <alignment horizontal="left" vertical="center"/>
    </xf>
    <xf numFmtId="164" fontId="0" fillId="0" borderId="11" xfId="0" applyNumberFormat="1" applyBorder="1"/>
    <xf numFmtId="4" fontId="0" fillId="0" borderId="41" xfId="0" applyNumberFormat="1" applyBorder="1" applyAlignment="1">
      <alignment horizontal="left" vertical="center"/>
    </xf>
    <xf numFmtId="0" fontId="0" fillId="8" borderId="8" xfId="0" applyFill="1" applyBorder="1"/>
    <xf numFmtId="0" fontId="0" fillId="8" borderId="0" xfId="0" applyFill="1"/>
    <xf numFmtId="0" fontId="0" fillId="8" borderId="0" xfId="0" applyFill="1" applyAlignment="1">
      <alignment wrapText="1"/>
    </xf>
    <xf numFmtId="0" fontId="0" fillId="8" borderId="32" xfId="0" applyFill="1" applyBorder="1" applyAlignment="1">
      <alignment wrapText="1"/>
    </xf>
    <xf numFmtId="0" fontId="20" fillId="8" borderId="0" xfId="0" applyFont="1" applyFill="1"/>
    <xf numFmtId="0" fontId="0" fillId="8" borderId="32" xfId="0" applyFill="1" applyBorder="1"/>
    <xf numFmtId="0" fontId="0" fillId="8" borderId="9" xfId="0" applyFill="1" applyBorder="1"/>
    <xf numFmtId="0" fontId="0" fillId="8" borderId="10" xfId="0" applyFill="1" applyBorder="1"/>
    <xf numFmtId="164" fontId="0" fillId="0" borderId="21" xfId="0" applyNumberFormat="1" applyBorder="1" applyAlignment="1">
      <alignment horizontal="left" vertical="center"/>
    </xf>
    <xf numFmtId="0" fontId="19" fillId="0" borderId="26" xfId="0" applyFont="1" applyBorder="1" applyAlignment="1">
      <alignment horizontal="center" vertical="center"/>
    </xf>
    <xf numFmtId="164" fontId="0" fillId="0" borderId="10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7" xfId="0" applyNumberFormat="1" applyBorder="1" applyAlignment="1">
      <alignment vertical="center"/>
    </xf>
    <xf numFmtId="164" fontId="3" fillId="3" borderId="1" xfId="0" applyNumberFormat="1" applyFont="1" applyFill="1" applyBorder="1" applyAlignment="1">
      <alignment vertical="center" wrapText="1"/>
    </xf>
    <xf numFmtId="164" fontId="18" fillId="6" borderId="1" xfId="0" applyNumberFormat="1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/>
    </xf>
    <xf numFmtId="164" fontId="21" fillId="6" borderId="26" xfId="0" applyNumberFormat="1" applyFont="1" applyFill="1" applyBorder="1" applyAlignment="1">
      <alignment vertic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7" fontId="14" fillId="2" borderId="2" xfId="0" applyNumberFormat="1" applyFont="1" applyFill="1" applyBorder="1" applyAlignment="1">
      <alignment horizontal="center"/>
    </xf>
    <xf numFmtId="17" fontId="14" fillId="2" borderId="3" xfId="0" applyNumberFormat="1" applyFont="1" applyFill="1" applyBorder="1" applyAlignment="1">
      <alignment horizontal="center"/>
    </xf>
    <xf numFmtId="17" fontId="14" fillId="2" borderId="4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" fontId="15" fillId="2" borderId="36" xfId="0" applyNumberFormat="1" applyFont="1" applyFill="1" applyBorder="1" applyAlignment="1">
      <alignment horizontal="center"/>
    </xf>
    <xf numFmtId="0" fontId="15" fillId="2" borderId="37" xfId="0" applyFont="1" applyFill="1" applyBorder="1" applyAlignment="1">
      <alignment horizontal="center"/>
    </xf>
    <xf numFmtId="17" fontId="16" fillId="5" borderId="36" xfId="0" applyNumberFormat="1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5" fillId="2" borderId="2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17" fontId="15" fillId="2" borderId="5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17" fontId="15" fillId="2" borderId="2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7" fontId="7" fillId="2" borderId="2" xfId="0" applyNumberFormat="1" applyFont="1" applyFill="1" applyBorder="1" applyAlignment="1">
      <alignment horizontal="center"/>
    </xf>
    <xf numFmtId="17" fontId="7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17" fontId="7" fillId="2" borderId="4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KGSAS@%20SHAH%20ALAM" TargetMode="External"/><Relationship Id="rId1" Type="http://schemas.openxmlformats.org/officeDocument/2006/relationships/hyperlink" Target="mailto:KGSAS@%20SHAH%20ALA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CEBE-43C3-4ECA-AA61-8888B4902342}">
  <sheetPr>
    <pageSetUpPr fitToPage="1"/>
  </sheetPr>
  <dimension ref="A1:AA35"/>
  <sheetViews>
    <sheetView topLeftCell="A4" zoomScale="85" zoomScaleNormal="85" workbookViewId="0">
      <selection activeCell="J31" sqref="J31"/>
    </sheetView>
  </sheetViews>
  <sheetFormatPr defaultRowHeight="15" x14ac:dyDescent="0.25"/>
  <cols>
    <col min="1" max="1" width="15.42578125" customWidth="1"/>
    <col min="2" max="2" width="22.85546875" customWidth="1"/>
    <col min="3" max="3" width="18.42578125" customWidth="1"/>
    <col min="4" max="4" width="17.7109375" customWidth="1"/>
    <col min="5" max="5" width="17.85546875" customWidth="1"/>
    <col min="6" max="6" width="18.85546875" customWidth="1"/>
    <col min="7" max="7" width="15.5703125" customWidth="1"/>
    <col min="8" max="8" width="18.7109375" customWidth="1"/>
    <col min="9" max="9" width="16.7109375" customWidth="1"/>
    <col min="10" max="10" width="18.85546875" customWidth="1"/>
    <col min="11" max="11" width="15.140625" bestFit="1" customWidth="1"/>
    <col min="12" max="12" width="17.28515625" bestFit="1" customWidth="1"/>
    <col min="13" max="13" width="15.140625" bestFit="1" customWidth="1"/>
    <col min="14" max="14" width="17.28515625" bestFit="1" customWidth="1"/>
    <col min="15" max="15" width="15.140625" bestFit="1" customWidth="1"/>
    <col min="16" max="16" width="17.28515625" bestFit="1" customWidth="1"/>
    <col min="17" max="17" width="15.140625" customWidth="1"/>
    <col min="18" max="18" width="17.42578125" customWidth="1"/>
    <col min="19" max="19" width="15.140625" customWidth="1"/>
    <col min="20" max="20" width="19" customWidth="1"/>
    <col min="21" max="21" width="15.140625" customWidth="1"/>
    <col min="22" max="22" width="17.28515625" bestFit="1" customWidth="1"/>
    <col min="23" max="23" width="15.140625" customWidth="1"/>
    <col min="24" max="24" width="17.28515625" customWidth="1"/>
    <col min="25" max="25" width="15.140625" customWidth="1"/>
    <col min="26" max="26" width="20.42578125" bestFit="1" customWidth="1"/>
    <col min="27" max="27" width="19.42578125" bestFit="1" customWidth="1"/>
  </cols>
  <sheetData>
    <row r="1" spans="1:27" ht="15.75" thickBot="1" x14ac:dyDescent="0.3"/>
    <row r="2" spans="1:27" ht="42" customHeight="1" thickBot="1" x14ac:dyDescent="0.6">
      <c r="A2" s="110" t="s">
        <v>0</v>
      </c>
      <c r="B2" s="111"/>
      <c r="C2" s="111"/>
      <c r="D2" s="111"/>
      <c r="E2" s="111"/>
      <c r="F2" s="111"/>
      <c r="G2" s="111"/>
      <c r="H2" s="111"/>
      <c r="I2" s="112"/>
    </row>
    <row r="3" spans="1:27" ht="41.25" customHeight="1" thickBot="1" x14ac:dyDescent="0.5">
      <c r="A3" s="113" t="s">
        <v>460</v>
      </c>
      <c r="B3" s="114"/>
      <c r="C3" s="114"/>
      <c r="D3" s="114"/>
      <c r="E3" s="114"/>
      <c r="F3" s="114"/>
      <c r="G3" s="114"/>
      <c r="H3" s="114"/>
      <c r="I3" s="115"/>
    </row>
    <row r="4" spans="1:27" ht="29.25" customHeight="1" thickBot="1" x14ac:dyDescent="0.5">
      <c r="A4" s="116" t="s">
        <v>618</v>
      </c>
      <c r="B4" s="117"/>
      <c r="C4" s="117"/>
      <c r="D4" s="117"/>
      <c r="E4" s="117"/>
      <c r="F4" s="117"/>
      <c r="G4" s="117"/>
      <c r="H4" s="117"/>
      <c r="I4" s="118"/>
    </row>
    <row r="5" spans="1:27" ht="28.5" customHeight="1" thickBot="1" x14ac:dyDescent="0.3">
      <c r="A5" s="119" t="s">
        <v>110</v>
      </c>
      <c r="B5" s="120"/>
      <c r="C5" s="121" t="s">
        <v>544</v>
      </c>
      <c r="D5" s="121"/>
      <c r="E5" s="121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8.75" customHeight="1" thickBot="1" x14ac:dyDescent="0.35">
      <c r="A6" s="72"/>
      <c r="B6" s="132" t="s">
        <v>545</v>
      </c>
      <c r="C6" s="136"/>
      <c r="D6" s="137">
        <v>45689</v>
      </c>
      <c r="E6" s="136"/>
      <c r="F6" s="137">
        <v>45717</v>
      </c>
      <c r="G6" s="136"/>
      <c r="H6" s="137">
        <v>45748</v>
      </c>
      <c r="I6" s="138"/>
      <c r="J6" s="134">
        <v>45778</v>
      </c>
      <c r="K6" s="135"/>
      <c r="L6" s="134">
        <v>45809</v>
      </c>
      <c r="M6" s="135"/>
      <c r="N6" s="122">
        <v>45839</v>
      </c>
      <c r="O6" s="123"/>
      <c r="P6" s="122">
        <v>45870</v>
      </c>
      <c r="Q6" s="123"/>
      <c r="R6" s="122">
        <v>45901</v>
      </c>
      <c r="S6" s="123"/>
      <c r="T6" s="122">
        <v>45931</v>
      </c>
      <c r="U6" s="123"/>
      <c r="V6" s="122">
        <v>45962</v>
      </c>
      <c r="W6" s="123"/>
      <c r="X6" s="132" t="s">
        <v>615</v>
      </c>
      <c r="Y6" s="133"/>
      <c r="Z6" s="124" t="s">
        <v>546</v>
      </c>
      <c r="AA6" s="125"/>
    </row>
    <row r="7" spans="1:27" ht="19.5" customHeight="1" thickBot="1" x14ac:dyDescent="0.3">
      <c r="A7" s="73" t="s">
        <v>2</v>
      </c>
      <c r="B7" s="73" t="s">
        <v>5</v>
      </c>
      <c r="C7" s="73" t="s">
        <v>6</v>
      </c>
      <c r="D7" s="73" t="s">
        <v>5</v>
      </c>
      <c r="E7" s="73" t="s">
        <v>6</v>
      </c>
      <c r="F7" s="73" t="s">
        <v>5</v>
      </c>
      <c r="G7" s="73" t="s">
        <v>6</v>
      </c>
      <c r="H7" s="73" t="s">
        <v>5</v>
      </c>
      <c r="I7" s="74" t="s">
        <v>6</v>
      </c>
      <c r="J7" s="73" t="s">
        <v>5</v>
      </c>
      <c r="K7" s="74" t="s">
        <v>6</v>
      </c>
      <c r="L7" s="73" t="s">
        <v>5</v>
      </c>
      <c r="M7" s="74" t="s">
        <v>6</v>
      </c>
      <c r="N7" s="73" t="s">
        <v>5</v>
      </c>
      <c r="O7" s="75" t="s">
        <v>6</v>
      </c>
      <c r="P7" s="73" t="s">
        <v>5</v>
      </c>
      <c r="Q7" s="75" t="s">
        <v>6</v>
      </c>
      <c r="R7" s="73" t="s">
        <v>5</v>
      </c>
      <c r="S7" s="76" t="s">
        <v>6</v>
      </c>
      <c r="T7" s="73" t="s">
        <v>5</v>
      </c>
      <c r="U7" s="75" t="s">
        <v>6</v>
      </c>
      <c r="V7" s="73" t="s">
        <v>5</v>
      </c>
      <c r="W7" s="75" t="s">
        <v>6</v>
      </c>
      <c r="X7" s="73" t="s">
        <v>5</v>
      </c>
      <c r="Y7" s="75" t="s">
        <v>6</v>
      </c>
      <c r="Z7" s="77" t="s">
        <v>5</v>
      </c>
      <c r="AA7" s="78" t="s">
        <v>6</v>
      </c>
    </row>
    <row r="8" spans="1:27" ht="15" customHeight="1" x14ac:dyDescent="0.25">
      <c r="A8" s="79" t="s">
        <v>33</v>
      </c>
      <c r="B8" s="80">
        <v>11850000</v>
      </c>
      <c r="C8" s="81">
        <v>6388</v>
      </c>
      <c r="D8" s="81">
        <v>3050000</v>
      </c>
      <c r="E8" s="81">
        <v>2928</v>
      </c>
      <c r="F8" s="81">
        <v>10779612</v>
      </c>
      <c r="G8" s="81">
        <v>35454.6</v>
      </c>
      <c r="H8" s="81">
        <v>10250000</v>
      </c>
      <c r="I8" s="81">
        <v>7986</v>
      </c>
      <c r="J8" s="80">
        <v>10700000</v>
      </c>
      <c r="K8" s="81">
        <v>38211</v>
      </c>
      <c r="L8" s="81">
        <v>20650000</v>
      </c>
      <c r="M8" s="81">
        <v>22347</v>
      </c>
      <c r="N8" s="81">
        <v>9600000</v>
      </c>
      <c r="O8" s="81">
        <v>6262</v>
      </c>
      <c r="P8" s="81">
        <v>20160000</v>
      </c>
      <c r="Q8" s="81">
        <v>6911.5</v>
      </c>
      <c r="R8" s="81">
        <v>1700000</v>
      </c>
      <c r="S8" s="81">
        <v>1290</v>
      </c>
      <c r="T8" s="81">
        <v>23450000</v>
      </c>
      <c r="U8" s="81">
        <v>5949.5</v>
      </c>
      <c r="V8" s="82">
        <v>2600000</v>
      </c>
      <c r="W8" s="83">
        <v>8653</v>
      </c>
      <c r="X8" s="55">
        <v>9800000</v>
      </c>
      <c r="Y8" s="55">
        <v>1957</v>
      </c>
      <c r="Z8" s="84">
        <f>SUM(B8+D8+F8+H8+J8+L8+N8+P8+R8+T8+V8+X8)</f>
        <v>134589612</v>
      </c>
      <c r="AA8" s="85">
        <f>SUM(C8+E8+G8+I8+K8+M8+O8+Q8+S8+U8+W8+Y8)</f>
        <v>144337.60000000001</v>
      </c>
    </row>
    <row r="9" spans="1:27" ht="15" customHeight="1" x14ac:dyDescent="0.25">
      <c r="A9" s="86" t="s">
        <v>108</v>
      </c>
      <c r="B9" s="55">
        <v>0</v>
      </c>
      <c r="C9" s="55">
        <v>0</v>
      </c>
      <c r="D9" s="55">
        <v>3780000</v>
      </c>
      <c r="E9" s="55">
        <v>4323.66</v>
      </c>
      <c r="F9" s="55">
        <v>2500000</v>
      </c>
      <c r="G9" s="55">
        <v>1197.3</v>
      </c>
      <c r="H9" s="55">
        <v>6500000</v>
      </c>
      <c r="I9" s="55">
        <v>2729.5</v>
      </c>
      <c r="J9" s="55">
        <v>380000</v>
      </c>
      <c r="K9" s="55">
        <v>1059</v>
      </c>
      <c r="L9" s="55">
        <v>800000</v>
      </c>
      <c r="M9" s="55">
        <v>4005</v>
      </c>
      <c r="N9" s="55">
        <v>1650000</v>
      </c>
      <c r="O9" s="55">
        <v>2115</v>
      </c>
      <c r="P9" s="55">
        <v>4100000</v>
      </c>
      <c r="Q9" s="55">
        <v>5804</v>
      </c>
      <c r="R9" s="55">
        <v>2200000</v>
      </c>
      <c r="S9" s="55">
        <v>7699</v>
      </c>
      <c r="T9" s="55">
        <v>500000</v>
      </c>
      <c r="U9" s="55">
        <v>500</v>
      </c>
      <c r="V9" s="55">
        <v>300000</v>
      </c>
      <c r="W9" s="88">
        <v>3761</v>
      </c>
      <c r="X9" s="55">
        <v>9600000</v>
      </c>
      <c r="Y9" s="55">
        <v>69335.899999999994</v>
      </c>
      <c r="Z9" s="84">
        <f t="shared" ref="Z9" si="0">SUM(B9+D9+F9+H9+J9+L9+N9+P9+R9+T9+V9+X9)</f>
        <v>32310000</v>
      </c>
      <c r="AA9" s="85">
        <f t="shared" ref="AA9" si="1">SUM(C9+E9+G9+I9+K9+M9+O9+Q9+S9+U9+W9+Y9)</f>
        <v>102529.35999999999</v>
      </c>
    </row>
    <row r="10" spans="1:27" ht="15" customHeight="1" x14ac:dyDescent="0.25">
      <c r="A10" s="86" t="s">
        <v>37</v>
      </c>
      <c r="B10" s="55">
        <v>0</v>
      </c>
      <c r="C10" s="87">
        <v>2000</v>
      </c>
      <c r="D10" s="55">
        <v>0</v>
      </c>
      <c r="E10" s="55">
        <v>0</v>
      </c>
      <c r="F10" s="55">
        <v>0</v>
      </c>
      <c r="G10" s="55">
        <v>0</v>
      </c>
      <c r="H10" s="55">
        <v>3750000</v>
      </c>
      <c r="I10" s="55">
        <v>1295.8</v>
      </c>
      <c r="J10" s="55">
        <v>5312481.2</v>
      </c>
      <c r="K10" s="55">
        <v>6787.6</v>
      </c>
      <c r="L10" s="55">
        <v>3636208.1</v>
      </c>
      <c r="M10" s="55">
        <v>8810.5</v>
      </c>
      <c r="N10" s="55">
        <v>2604185.9</v>
      </c>
      <c r="O10" s="55">
        <v>24595.3</v>
      </c>
      <c r="P10" s="55">
        <v>0</v>
      </c>
      <c r="Q10" s="55">
        <v>0</v>
      </c>
      <c r="R10" s="55">
        <v>2318769.61</v>
      </c>
      <c r="S10" s="55">
        <v>8922.02</v>
      </c>
      <c r="T10" s="55"/>
      <c r="U10" s="55"/>
      <c r="V10" s="55">
        <v>1200000</v>
      </c>
      <c r="W10" s="88">
        <v>300</v>
      </c>
      <c r="X10" s="55"/>
      <c r="Y10" s="55"/>
      <c r="Z10" s="84">
        <f t="shared" ref="Z10:Z25" si="2">SUM(B10+D10+F10+H10+J10+L10+N10+P10+R10+T10+V10+X10)</f>
        <v>18821644.809999999</v>
      </c>
      <c r="AA10" s="85">
        <f t="shared" ref="AA10:AA25" si="3">SUM(C10+E10+G10+I10+K10+M10+O10+Q10+S10+U10+W10+Y10)</f>
        <v>52711.22</v>
      </c>
    </row>
    <row r="11" spans="1:27" ht="15" customHeight="1" x14ac:dyDescent="0.25">
      <c r="A11" s="86" t="s">
        <v>114</v>
      </c>
      <c r="B11" s="55">
        <v>0</v>
      </c>
      <c r="C11" s="55">
        <v>0</v>
      </c>
      <c r="D11" s="55">
        <v>0</v>
      </c>
      <c r="E11" s="3"/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150</v>
      </c>
      <c r="L11" s="3">
        <v>0</v>
      </c>
      <c r="M11" s="55">
        <v>0</v>
      </c>
      <c r="N11" s="55">
        <v>581000</v>
      </c>
      <c r="O11" s="55">
        <v>33844</v>
      </c>
      <c r="P11" s="55">
        <v>9694795.0999999996</v>
      </c>
      <c r="Q11" s="55">
        <v>5917.1</v>
      </c>
      <c r="R11" s="55">
        <v>581000</v>
      </c>
      <c r="S11" s="55">
        <v>187</v>
      </c>
      <c r="T11" s="55"/>
      <c r="U11" s="55"/>
      <c r="V11" s="55">
        <v>2324000</v>
      </c>
      <c r="W11" s="88">
        <v>1367</v>
      </c>
      <c r="X11" s="55"/>
      <c r="Y11" s="55">
        <v>1000</v>
      </c>
      <c r="Z11" s="84">
        <f t="shared" si="2"/>
        <v>13180795.1</v>
      </c>
      <c r="AA11" s="85">
        <f t="shared" si="3"/>
        <v>42465.1</v>
      </c>
    </row>
    <row r="12" spans="1:27" ht="15" customHeight="1" x14ac:dyDescent="0.25">
      <c r="A12" s="86" t="s">
        <v>262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100000</v>
      </c>
      <c r="M12" s="55">
        <v>520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/>
      <c r="U12" s="55"/>
      <c r="V12" s="55"/>
      <c r="W12" s="88"/>
      <c r="X12" s="55"/>
      <c r="Y12" s="55">
        <v>39245</v>
      </c>
      <c r="Z12" s="84">
        <f t="shared" ref="Z12" si="4">SUM(B12+D12+F12+H12+J12+L12+N12+P12+R12+T12+V12+X12)</f>
        <v>100000</v>
      </c>
      <c r="AA12" s="85">
        <f t="shared" ref="AA12" si="5">SUM(C12+E12+G12+I12+K12+M12+O12+Q12+S12+U12+W12+Y12)</f>
        <v>39765</v>
      </c>
    </row>
    <row r="13" spans="1:27" ht="15" customHeight="1" x14ac:dyDescent="0.25">
      <c r="A13" s="86" t="s">
        <v>36</v>
      </c>
      <c r="B13" s="55">
        <v>2000000</v>
      </c>
      <c r="C13" s="55">
        <v>14404</v>
      </c>
      <c r="D13" s="55">
        <v>2700000</v>
      </c>
      <c r="E13" s="55">
        <v>10488.5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/>
      <c r="S13" s="55"/>
      <c r="T13" s="55"/>
      <c r="U13" s="55"/>
      <c r="V13" s="55"/>
      <c r="W13" s="88"/>
      <c r="X13" s="55"/>
      <c r="Y13" s="55"/>
      <c r="Z13" s="84">
        <f t="shared" si="2"/>
        <v>4700000</v>
      </c>
      <c r="AA13" s="85">
        <f t="shared" si="3"/>
        <v>24892.5</v>
      </c>
    </row>
    <row r="14" spans="1:27" ht="15" customHeight="1" x14ac:dyDescent="0.25">
      <c r="A14" s="86" t="s">
        <v>32</v>
      </c>
      <c r="B14" s="55">
        <v>0</v>
      </c>
      <c r="C14" s="89">
        <v>1000</v>
      </c>
      <c r="D14" s="55">
        <v>985884</v>
      </c>
      <c r="E14" s="55">
        <v>3971</v>
      </c>
      <c r="F14" s="90">
        <v>600000</v>
      </c>
      <c r="G14" s="91">
        <v>105</v>
      </c>
      <c r="H14" s="90">
        <v>57247</v>
      </c>
      <c r="I14" s="91">
        <v>2000</v>
      </c>
      <c r="J14" s="55">
        <v>0</v>
      </c>
      <c r="K14" s="55">
        <v>0</v>
      </c>
      <c r="L14" s="90">
        <v>100000</v>
      </c>
      <c r="M14" s="91">
        <v>300</v>
      </c>
      <c r="N14" s="90">
        <v>0</v>
      </c>
      <c r="O14" s="91">
        <v>0</v>
      </c>
      <c r="P14" s="90">
        <v>0</v>
      </c>
      <c r="Q14" s="91">
        <v>0</v>
      </c>
      <c r="R14" s="91">
        <v>1360845</v>
      </c>
      <c r="S14" s="91">
        <v>6433.8</v>
      </c>
      <c r="T14" s="91">
        <v>1500000</v>
      </c>
      <c r="U14" s="91">
        <v>5850</v>
      </c>
      <c r="V14" s="55">
        <v>2500000</v>
      </c>
      <c r="W14" s="101">
        <v>1962.5</v>
      </c>
      <c r="X14" s="55"/>
      <c r="Y14" s="55">
        <v>154</v>
      </c>
      <c r="Z14" s="84">
        <f t="shared" si="2"/>
        <v>7103976</v>
      </c>
      <c r="AA14" s="85">
        <f t="shared" si="3"/>
        <v>21776.3</v>
      </c>
    </row>
    <row r="15" spans="1:27" ht="15" customHeight="1" x14ac:dyDescent="0.25">
      <c r="A15" s="86" t="s">
        <v>91</v>
      </c>
      <c r="B15" s="55">
        <v>0</v>
      </c>
      <c r="C15" s="55">
        <v>0</v>
      </c>
      <c r="D15" s="55">
        <v>0</v>
      </c>
      <c r="E15" s="55">
        <v>300</v>
      </c>
      <c r="F15" s="55">
        <v>0</v>
      </c>
      <c r="G15" s="55">
        <v>0</v>
      </c>
      <c r="H15" s="55">
        <v>0</v>
      </c>
      <c r="I15" s="55">
        <v>3071.75</v>
      </c>
      <c r="J15" s="55">
        <v>0</v>
      </c>
      <c r="K15" s="55">
        <v>1300</v>
      </c>
      <c r="L15" s="55">
        <v>0</v>
      </c>
      <c r="M15" s="55">
        <v>9295.15</v>
      </c>
      <c r="N15" s="55">
        <v>160000</v>
      </c>
      <c r="O15" s="55">
        <v>4278.6499999999996</v>
      </c>
      <c r="P15" s="55">
        <v>0</v>
      </c>
      <c r="Q15" s="55">
        <v>0</v>
      </c>
      <c r="R15" s="55">
        <v>850000</v>
      </c>
      <c r="S15" s="55">
        <v>100</v>
      </c>
      <c r="T15" s="55"/>
      <c r="U15" s="55"/>
      <c r="V15" s="55"/>
      <c r="W15" s="88">
        <v>842.4</v>
      </c>
      <c r="X15" s="55">
        <v>408000</v>
      </c>
      <c r="Y15" s="55"/>
      <c r="Z15" s="84">
        <f t="shared" si="2"/>
        <v>1418000</v>
      </c>
      <c r="AA15" s="85">
        <f t="shared" si="3"/>
        <v>19187.95</v>
      </c>
    </row>
    <row r="16" spans="1:27" ht="15" customHeight="1" x14ac:dyDescent="0.25">
      <c r="A16" s="86" t="s">
        <v>116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883000</v>
      </c>
      <c r="O16" s="55">
        <v>1934</v>
      </c>
      <c r="P16" s="55">
        <v>0</v>
      </c>
      <c r="Q16" s="55">
        <v>0</v>
      </c>
      <c r="R16" s="55">
        <v>0</v>
      </c>
      <c r="S16" s="55">
        <v>0</v>
      </c>
      <c r="T16" s="55">
        <v>1540000</v>
      </c>
      <c r="U16" s="55">
        <v>11856.8</v>
      </c>
      <c r="V16" s="55">
        <v>1600000</v>
      </c>
      <c r="W16" s="88">
        <v>2036</v>
      </c>
      <c r="X16" s="55">
        <v>1620000</v>
      </c>
      <c r="Y16" s="55">
        <v>2765</v>
      </c>
      <c r="Z16" s="84">
        <f t="shared" si="2"/>
        <v>5643000</v>
      </c>
      <c r="AA16" s="85">
        <f t="shared" si="3"/>
        <v>18591.8</v>
      </c>
    </row>
    <row r="17" spans="1:27" ht="15" customHeight="1" x14ac:dyDescent="0.25">
      <c r="A17" s="86" t="s">
        <v>90</v>
      </c>
      <c r="B17" s="55">
        <v>0</v>
      </c>
      <c r="C17" s="55">
        <v>0</v>
      </c>
      <c r="D17" s="55">
        <v>1498000</v>
      </c>
      <c r="E17" s="70">
        <v>786</v>
      </c>
      <c r="F17" s="55">
        <v>0</v>
      </c>
      <c r="G17" s="55">
        <v>0</v>
      </c>
      <c r="H17" s="55">
        <v>0</v>
      </c>
      <c r="I17" s="55">
        <v>0</v>
      </c>
      <c r="J17" s="55">
        <v>300000</v>
      </c>
      <c r="K17" s="55">
        <v>199.6</v>
      </c>
      <c r="L17" s="55">
        <v>2200000</v>
      </c>
      <c r="M17" s="55">
        <v>1080</v>
      </c>
      <c r="N17" s="55">
        <v>0</v>
      </c>
      <c r="O17" s="55">
        <v>0</v>
      </c>
      <c r="P17" s="55">
        <v>2800000</v>
      </c>
      <c r="Q17" s="55">
        <v>5169</v>
      </c>
      <c r="R17" s="55">
        <v>1900000</v>
      </c>
      <c r="S17" s="55">
        <v>5718.1</v>
      </c>
      <c r="T17" s="55">
        <v>1000000</v>
      </c>
      <c r="U17" s="55">
        <v>980</v>
      </c>
      <c r="V17" s="55">
        <v>120000</v>
      </c>
      <c r="W17" s="88">
        <v>440</v>
      </c>
      <c r="X17" s="55">
        <v>516000</v>
      </c>
      <c r="Y17" s="55">
        <v>2164</v>
      </c>
      <c r="Z17" s="84">
        <f t="shared" si="2"/>
        <v>10334000</v>
      </c>
      <c r="AA17" s="85">
        <f t="shared" si="3"/>
        <v>16536.7</v>
      </c>
    </row>
    <row r="18" spans="1:27" ht="15" customHeight="1" x14ac:dyDescent="0.25">
      <c r="A18" s="86" t="s">
        <v>115</v>
      </c>
      <c r="B18" s="55">
        <v>0</v>
      </c>
      <c r="C18" s="70"/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2900000</v>
      </c>
      <c r="M18" s="55">
        <v>6508.5</v>
      </c>
      <c r="N18" s="55">
        <v>150000</v>
      </c>
      <c r="O18" s="55">
        <v>991.8</v>
      </c>
      <c r="P18" s="55">
        <v>221000</v>
      </c>
      <c r="Q18" s="55">
        <v>3696.8</v>
      </c>
      <c r="R18" s="55">
        <v>221000</v>
      </c>
      <c r="S18" s="55">
        <v>456</v>
      </c>
      <c r="T18" s="55">
        <v>1233000</v>
      </c>
      <c r="U18" s="55">
        <v>520</v>
      </c>
      <c r="V18" s="55"/>
      <c r="W18" s="88">
        <v>2300</v>
      </c>
      <c r="X18" s="55">
        <v>4330000</v>
      </c>
      <c r="Y18" s="55"/>
      <c r="Z18" s="84">
        <f t="shared" si="2"/>
        <v>9055000</v>
      </c>
      <c r="AA18" s="85">
        <f t="shared" si="3"/>
        <v>14473.1</v>
      </c>
    </row>
    <row r="19" spans="1:27" ht="15" customHeight="1" x14ac:dyDescent="0.25">
      <c r="A19" s="86" t="s">
        <v>35</v>
      </c>
      <c r="B19" s="55">
        <v>1000000</v>
      </c>
      <c r="C19" s="55">
        <v>403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5600000</v>
      </c>
      <c r="K19" s="55">
        <v>5330</v>
      </c>
      <c r="L19" s="55">
        <v>10580000</v>
      </c>
      <c r="M19" s="55">
        <v>2978.75</v>
      </c>
      <c r="N19" s="55">
        <v>0</v>
      </c>
      <c r="O19" s="55"/>
      <c r="P19" s="55">
        <v>0</v>
      </c>
      <c r="Q19" s="55">
        <v>0</v>
      </c>
      <c r="R19" s="55">
        <v>0</v>
      </c>
      <c r="S19" s="55">
        <v>0</v>
      </c>
      <c r="T19" s="55"/>
      <c r="U19" s="55"/>
      <c r="V19" s="55"/>
      <c r="W19" s="88"/>
      <c r="X19" s="55"/>
      <c r="Y19" s="55"/>
      <c r="Z19" s="84">
        <f t="shared" si="2"/>
        <v>17180000</v>
      </c>
      <c r="AA19" s="85">
        <f t="shared" si="3"/>
        <v>8711.75</v>
      </c>
    </row>
    <row r="20" spans="1:27" ht="15" customHeight="1" x14ac:dyDescent="0.25">
      <c r="A20" s="86" t="s">
        <v>34</v>
      </c>
      <c r="B20" s="55">
        <v>0</v>
      </c>
      <c r="C20" s="91">
        <v>5000</v>
      </c>
      <c r="D20" s="91"/>
      <c r="E20" s="55">
        <v>0</v>
      </c>
      <c r="F20" s="55">
        <v>0</v>
      </c>
      <c r="G20" s="55">
        <v>0</v>
      </c>
      <c r="H20" s="91">
        <v>108000</v>
      </c>
      <c r="I20" s="91">
        <v>158</v>
      </c>
      <c r="J20" s="55">
        <v>0</v>
      </c>
      <c r="K20" s="55">
        <v>0</v>
      </c>
      <c r="L20" s="55">
        <v>0</v>
      </c>
      <c r="M20" s="55">
        <v>0</v>
      </c>
      <c r="N20" s="91">
        <v>0</v>
      </c>
      <c r="O20" s="91">
        <v>0</v>
      </c>
      <c r="P20" s="91">
        <v>0</v>
      </c>
      <c r="Q20" s="91">
        <v>0</v>
      </c>
      <c r="R20" s="55">
        <v>0</v>
      </c>
      <c r="S20" s="55">
        <v>0</v>
      </c>
      <c r="T20" s="55"/>
      <c r="U20" s="55"/>
      <c r="V20" s="55"/>
      <c r="W20" s="88"/>
      <c r="X20" s="55">
        <v>232000</v>
      </c>
      <c r="Y20" s="55">
        <v>2000</v>
      </c>
      <c r="Z20" s="84">
        <f t="shared" si="2"/>
        <v>340000</v>
      </c>
      <c r="AA20" s="85">
        <f t="shared" si="3"/>
        <v>7158</v>
      </c>
    </row>
    <row r="21" spans="1:27" ht="15" customHeight="1" x14ac:dyDescent="0.25">
      <c r="A21" s="86" t="s">
        <v>547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4258.5</v>
      </c>
      <c r="R21" s="55">
        <v>0</v>
      </c>
      <c r="S21" s="55">
        <v>0</v>
      </c>
      <c r="T21" s="55"/>
      <c r="U21" s="55"/>
      <c r="V21" s="55"/>
      <c r="W21" s="88"/>
      <c r="X21" s="55"/>
      <c r="Y21" s="55"/>
      <c r="Z21" s="84">
        <f t="shared" si="2"/>
        <v>0</v>
      </c>
      <c r="AA21" s="85">
        <f t="shared" si="3"/>
        <v>4258.5</v>
      </c>
    </row>
    <row r="22" spans="1:27" ht="15" customHeight="1" x14ac:dyDescent="0.25">
      <c r="A22" s="86" t="s">
        <v>121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1100000</v>
      </c>
      <c r="I22" s="55">
        <v>1014.5</v>
      </c>
      <c r="J22" s="55">
        <v>0</v>
      </c>
      <c r="K22" s="55">
        <v>0</v>
      </c>
      <c r="L22" s="55">
        <v>1200000</v>
      </c>
      <c r="M22" s="55">
        <v>196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/>
      <c r="U22" s="55"/>
      <c r="V22" s="55"/>
      <c r="W22" s="88"/>
      <c r="X22" s="55"/>
      <c r="Y22" s="55"/>
      <c r="Z22" s="84">
        <f t="shared" si="2"/>
        <v>2300000</v>
      </c>
      <c r="AA22" s="85">
        <f t="shared" si="3"/>
        <v>1210.5</v>
      </c>
    </row>
    <row r="23" spans="1:27" ht="15" customHeight="1" x14ac:dyDescent="0.25">
      <c r="A23" s="86" t="s">
        <v>548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/>
      <c r="U23" s="55"/>
      <c r="V23" s="55"/>
      <c r="W23" s="88"/>
      <c r="X23" s="55"/>
      <c r="Y23" s="55"/>
      <c r="Z23" s="84">
        <f t="shared" si="2"/>
        <v>0</v>
      </c>
      <c r="AA23" s="85">
        <f t="shared" si="3"/>
        <v>0</v>
      </c>
    </row>
    <row r="24" spans="1:27" ht="15" customHeight="1" x14ac:dyDescent="0.25">
      <c r="A24" s="86" t="s">
        <v>549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/>
      <c r="U24" s="55"/>
      <c r="V24" s="55"/>
      <c r="W24" s="88"/>
      <c r="X24" s="55"/>
      <c r="Y24" s="55"/>
      <c r="Z24" s="84">
        <f t="shared" si="2"/>
        <v>0</v>
      </c>
      <c r="AA24" s="85">
        <f t="shared" si="3"/>
        <v>0</v>
      </c>
    </row>
    <row r="25" spans="1:27" ht="15" customHeight="1" thickBot="1" x14ac:dyDescent="0.3">
      <c r="A25" s="86"/>
      <c r="B25" s="2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92"/>
      <c r="X25" s="70"/>
      <c r="Y25" s="70"/>
      <c r="Z25" s="84">
        <f t="shared" si="2"/>
        <v>0</v>
      </c>
      <c r="AA25" s="85">
        <f t="shared" si="3"/>
        <v>0</v>
      </c>
    </row>
    <row r="26" spans="1:27" ht="15" customHeight="1" thickBot="1" x14ac:dyDescent="0.3">
      <c r="A26" s="102" t="s">
        <v>550</v>
      </c>
      <c r="B26" s="103">
        <f t="shared" ref="B26:AA26" si="6">SUM(B8:B25)</f>
        <v>14850000</v>
      </c>
      <c r="C26" s="103">
        <f t="shared" si="6"/>
        <v>29195</v>
      </c>
      <c r="D26" s="103">
        <f t="shared" si="6"/>
        <v>12013884</v>
      </c>
      <c r="E26" s="103">
        <f t="shared" si="6"/>
        <v>22797.16</v>
      </c>
      <c r="F26" s="103">
        <f t="shared" si="6"/>
        <v>13879612</v>
      </c>
      <c r="G26" s="103">
        <f t="shared" si="6"/>
        <v>36756.9</v>
      </c>
      <c r="H26" s="103">
        <f t="shared" si="6"/>
        <v>21765247</v>
      </c>
      <c r="I26" s="103">
        <f t="shared" si="6"/>
        <v>18255.55</v>
      </c>
      <c r="J26" s="103">
        <f t="shared" si="6"/>
        <v>22292481.199999999</v>
      </c>
      <c r="K26" s="103">
        <f t="shared" si="6"/>
        <v>53037.2</v>
      </c>
      <c r="L26" s="103">
        <f t="shared" si="6"/>
        <v>42166208.100000001</v>
      </c>
      <c r="M26" s="103">
        <f t="shared" si="6"/>
        <v>56040.9</v>
      </c>
      <c r="N26" s="103">
        <f t="shared" si="6"/>
        <v>15628185.9</v>
      </c>
      <c r="O26" s="103">
        <f t="shared" si="6"/>
        <v>74020.75</v>
      </c>
      <c r="P26" s="103">
        <f t="shared" si="6"/>
        <v>36975795.100000001</v>
      </c>
      <c r="Q26" s="103">
        <f t="shared" si="6"/>
        <v>31756.899999999998</v>
      </c>
      <c r="R26" s="104">
        <f t="shared" si="6"/>
        <v>11131614.609999999</v>
      </c>
      <c r="S26" s="105">
        <f t="shared" si="6"/>
        <v>30805.919999999998</v>
      </c>
      <c r="T26" s="105">
        <f t="shared" si="6"/>
        <v>29223000</v>
      </c>
      <c r="U26" s="105">
        <f t="shared" si="6"/>
        <v>25656.3</v>
      </c>
      <c r="V26" s="105">
        <f t="shared" si="6"/>
        <v>10644000</v>
      </c>
      <c r="W26" s="105">
        <f t="shared" si="6"/>
        <v>21661.9</v>
      </c>
      <c r="X26" s="105">
        <f t="shared" si="6"/>
        <v>26506000</v>
      </c>
      <c r="Y26" s="105">
        <f t="shared" si="6"/>
        <v>118620.9</v>
      </c>
      <c r="Z26" s="106">
        <f t="shared" si="6"/>
        <v>257076027.91</v>
      </c>
      <c r="AA26" s="107">
        <f t="shared" si="6"/>
        <v>518605.37999999995</v>
      </c>
    </row>
    <row r="27" spans="1:27" ht="15.75" thickBo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5"/>
      <c r="AA27" s="96"/>
    </row>
    <row r="28" spans="1:27" ht="18.75" customHeight="1" thickBot="1" x14ac:dyDescent="0.35">
      <c r="A28" s="126" t="s">
        <v>616</v>
      </c>
      <c r="B28" s="127"/>
      <c r="C28" s="108">
        <f>B26+D26+F26+H26+J26+L26+N26+P26+R26+T26+V26+X26</f>
        <v>257076027.91000003</v>
      </c>
      <c r="D28" s="97"/>
      <c r="E28" s="97"/>
      <c r="F28" s="97"/>
      <c r="G28" s="97"/>
      <c r="H28" s="97"/>
      <c r="I28" s="97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8"/>
    </row>
    <row r="29" spans="1:27" ht="25.5" customHeight="1" thickBot="1" x14ac:dyDescent="0.3">
      <c r="A29" s="128" t="s">
        <v>617</v>
      </c>
      <c r="B29" s="129"/>
      <c r="C29" s="109">
        <f>C26+E26+I26+G26+K26+M26+O26+Q26+S26+U26+W26+Y26</f>
        <v>518605.38</v>
      </c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100"/>
    </row>
    <row r="33" spans="1:10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</row>
    <row r="35" spans="1:10" x14ac:dyDescent="0.25">
      <c r="E35" t="s">
        <v>551</v>
      </c>
    </row>
  </sheetData>
  <mergeCells count="21">
    <mergeCell ref="V6:W6"/>
    <mergeCell ref="Z6:AA6"/>
    <mergeCell ref="A28:B28"/>
    <mergeCell ref="A29:B29"/>
    <mergeCell ref="A33:J33"/>
    <mergeCell ref="X6:Y6"/>
    <mergeCell ref="J6:K6"/>
    <mergeCell ref="L6:M6"/>
    <mergeCell ref="N6:O6"/>
    <mergeCell ref="P6:Q6"/>
    <mergeCell ref="R6:S6"/>
    <mergeCell ref="T6:U6"/>
    <mergeCell ref="B6:C6"/>
    <mergeCell ref="D6:E6"/>
    <mergeCell ref="F6:G6"/>
    <mergeCell ref="H6:I6"/>
    <mergeCell ref="A2:I2"/>
    <mergeCell ref="A3:I3"/>
    <mergeCell ref="A4:I4"/>
    <mergeCell ref="A5:B5"/>
    <mergeCell ref="C5:E5"/>
  </mergeCells>
  <pageMargins left="3.937007874015748E-2" right="3.937007874015748E-2" top="0.74803149606299213" bottom="0.74803149606299213" header="0.31496062992125984" footer="0.31496062992125984"/>
  <pageSetup scale="2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2" workbookViewId="0">
      <selection activeCell="P14" sqref="P14"/>
    </sheetView>
  </sheetViews>
  <sheetFormatPr defaultRowHeight="15" x14ac:dyDescent="0.25"/>
  <cols>
    <col min="1" max="1" width="15.7109375" customWidth="1"/>
    <col min="2" max="2" width="17.140625" customWidth="1"/>
    <col min="3" max="3" width="28.28515625" bestFit="1" customWidth="1"/>
    <col min="4" max="4" width="30.42578125" bestFit="1" customWidth="1"/>
    <col min="5" max="5" width="30.42578125" customWidth="1"/>
    <col min="6" max="6" width="19.5703125" customWidth="1"/>
    <col min="7" max="7" width="23.28515625" bestFit="1" customWidth="1"/>
    <col min="8" max="8" width="9.28515625" customWidth="1"/>
    <col min="9" max="9" width="11.28515625" customWidth="1"/>
    <col min="10" max="10" width="9.5703125" customWidth="1"/>
    <col min="11" max="11" width="8.7109375" customWidth="1"/>
    <col min="12" max="12" width="11.7109375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45658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32.25" customHeight="1" thickBot="1" x14ac:dyDescent="0.3">
      <c r="A6" s="152" t="s">
        <v>38</v>
      </c>
      <c r="B6" s="152" t="s">
        <v>2</v>
      </c>
      <c r="C6" s="152" t="s">
        <v>3</v>
      </c>
      <c r="D6" s="154" t="s">
        <v>4</v>
      </c>
      <c r="E6" s="152" t="s">
        <v>157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4.25" customHeight="1" thickBot="1" x14ac:dyDescent="0.3">
      <c r="A7" s="153"/>
      <c r="B7" s="153"/>
      <c r="C7" s="153"/>
      <c r="D7" s="155"/>
      <c r="E7" s="153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" customHeight="1" x14ac:dyDescent="0.25">
      <c r="A8" s="41" t="s">
        <v>39</v>
      </c>
      <c r="B8" s="42" t="s">
        <v>32</v>
      </c>
      <c r="C8" s="43" t="s">
        <v>8</v>
      </c>
      <c r="D8" s="44" t="s">
        <v>56</v>
      </c>
      <c r="E8" s="3" t="s">
        <v>19</v>
      </c>
      <c r="F8" s="68">
        <v>0</v>
      </c>
      <c r="G8" s="16">
        <v>1000</v>
      </c>
      <c r="H8" s="36"/>
      <c r="I8" s="36"/>
      <c r="J8" s="36"/>
      <c r="K8" s="36"/>
      <c r="L8" s="12"/>
    </row>
    <row r="9" spans="1:12" x14ac:dyDescent="0.25">
      <c r="A9" s="24" t="s">
        <v>40</v>
      </c>
      <c r="B9" s="22" t="s">
        <v>35</v>
      </c>
      <c r="C9" s="3" t="s">
        <v>9</v>
      </c>
      <c r="D9" s="8" t="s">
        <v>20</v>
      </c>
      <c r="E9" s="3" t="s">
        <v>153</v>
      </c>
      <c r="F9" s="28">
        <v>500000</v>
      </c>
      <c r="G9" s="17">
        <v>252</v>
      </c>
      <c r="H9" s="37"/>
      <c r="I9" s="37"/>
      <c r="J9" s="37"/>
      <c r="K9" s="37"/>
      <c r="L9" s="13"/>
    </row>
    <row r="10" spans="1:12" x14ac:dyDescent="0.25">
      <c r="A10" s="24" t="s">
        <v>41</v>
      </c>
      <c r="B10" s="22" t="s">
        <v>33</v>
      </c>
      <c r="C10" s="3" t="s">
        <v>10</v>
      </c>
      <c r="D10" s="8" t="s">
        <v>21</v>
      </c>
      <c r="E10" s="3" t="s">
        <v>154</v>
      </c>
      <c r="F10" s="28">
        <v>50000</v>
      </c>
      <c r="G10" s="17">
        <v>2930</v>
      </c>
      <c r="H10" s="37"/>
      <c r="I10" s="37"/>
      <c r="J10" s="37"/>
      <c r="K10" s="37"/>
      <c r="L10" s="13"/>
    </row>
    <row r="11" spans="1:12" x14ac:dyDescent="0.25">
      <c r="A11" s="24" t="s">
        <v>42</v>
      </c>
      <c r="B11" s="22" t="s">
        <v>34</v>
      </c>
      <c r="C11" s="3" t="s">
        <v>11</v>
      </c>
      <c r="D11" s="8" t="s">
        <v>22</v>
      </c>
      <c r="E11" s="3" t="s">
        <v>155</v>
      </c>
      <c r="F11" s="28" t="s">
        <v>19</v>
      </c>
      <c r="G11" s="17">
        <v>5000</v>
      </c>
      <c r="H11" s="37"/>
      <c r="I11" s="37"/>
      <c r="J11" s="37"/>
      <c r="K11" s="37"/>
      <c r="L11" s="13"/>
    </row>
    <row r="12" spans="1:12" x14ac:dyDescent="0.25">
      <c r="A12" s="24" t="s">
        <v>43</v>
      </c>
      <c r="B12" s="22" t="s">
        <v>36</v>
      </c>
      <c r="C12" s="3" t="s">
        <v>12</v>
      </c>
      <c r="D12" s="8" t="s">
        <v>23</v>
      </c>
      <c r="E12" s="3" t="s">
        <v>154</v>
      </c>
      <c r="F12" s="28">
        <v>150000</v>
      </c>
      <c r="G12" s="17">
        <v>580</v>
      </c>
      <c r="H12" s="37"/>
      <c r="I12" s="37"/>
      <c r="J12" s="37"/>
      <c r="K12" s="37"/>
      <c r="L12" s="13"/>
    </row>
    <row r="13" spans="1:12" x14ac:dyDescent="0.25">
      <c r="A13" s="24" t="s">
        <v>44</v>
      </c>
      <c r="B13" s="23" t="s">
        <v>36</v>
      </c>
      <c r="C13" s="3" t="s">
        <v>13</v>
      </c>
      <c r="D13" s="8" t="s">
        <v>23</v>
      </c>
      <c r="E13" s="3" t="s">
        <v>154</v>
      </c>
      <c r="F13" s="28">
        <v>350000</v>
      </c>
      <c r="G13" s="18">
        <v>1120</v>
      </c>
      <c r="H13" s="38"/>
      <c r="I13" s="38"/>
      <c r="J13" s="38"/>
      <c r="K13" s="38"/>
      <c r="L13" s="13"/>
    </row>
    <row r="14" spans="1:12" x14ac:dyDescent="0.25">
      <c r="A14" s="24" t="s">
        <v>45</v>
      </c>
      <c r="B14" s="22" t="s">
        <v>33</v>
      </c>
      <c r="C14" s="3" t="s">
        <v>10</v>
      </c>
      <c r="D14" s="8" t="s">
        <v>21</v>
      </c>
      <c r="E14" s="3" t="s">
        <v>154</v>
      </c>
      <c r="F14" s="28">
        <v>500000</v>
      </c>
      <c r="G14" s="18">
        <v>502</v>
      </c>
      <c r="H14" s="38"/>
      <c r="I14" s="38"/>
      <c r="J14" s="38"/>
      <c r="K14" s="38"/>
      <c r="L14" s="13"/>
    </row>
    <row r="15" spans="1:12" x14ac:dyDescent="0.25">
      <c r="A15" s="24" t="s">
        <v>46</v>
      </c>
      <c r="B15" s="22" t="s">
        <v>33</v>
      </c>
      <c r="C15" s="3" t="s">
        <v>14</v>
      </c>
      <c r="D15" s="8" t="s">
        <v>24</v>
      </c>
      <c r="E15" s="3" t="s">
        <v>154</v>
      </c>
      <c r="F15" s="28">
        <v>2800000</v>
      </c>
      <c r="G15" s="18">
        <v>230</v>
      </c>
      <c r="H15" s="38"/>
      <c r="I15" s="38"/>
      <c r="J15" s="38"/>
      <c r="K15" s="38"/>
      <c r="L15" s="13"/>
    </row>
    <row r="16" spans="1:12" x14ac:dyDescent="0.25">
      <c r="A16" s="24" t="s">
        <v>47</v>
      </c>
      <c r="B16" s="22" t="s">
        <v>33</v>
      </c>
      <c r="C16" s="3" t="s">
        <v>8</v>
      </c>
      <c r="D16" s="8" t="s">
        <v>25</v>
      </c>
      <c r="E16" s="3" t="s">
        <v>154</v>
      </c>
      <c r="F16" s="28">
        <v>1000000</v>
      </c>
      <c r="G16" s="18">
        <v>816</v>
      </c>
      <c r="H16" s="38"/>
      <c r="I16" s="38"/>
      <c r="J16" s="38"/>
      <c r="K16" s="38"/>
      <c r="L16" s="13"/>
    </row>
    <row r="17" spans="1:12" ht="15.75" customHeight="1" x14ac:dyDescent="0.25">
      <c r="A17" s="24" t="s">
        <v>48</v>
      </c>
      <c r="B17" s="22" t="s">
        <v>33</v>
      </c>
      <c r="C17" s="4" t="s">
        <v>15</v>
      </c>
      <c r="D17" s="9" t="s">
        <v>26</v>
      </c>
      <c r="E17" s="3" t="s">
        <v>154</v>
      </c>
      <c r="F17" s="28" t="s">
        <v>19</v>
      </c>
      <c r="G17" s="18">
        <v>450</v>
      </c>
      <c r="H17" s="38"/>
      <c r="I17" s="38"/>
      <c r="J17" s="38"/>
      <c r="K17" s="38"/>
      <c r="L17" s="13"/>
    </row>
    <row r="18" spans="1:12" x14ac:dyDescent="0.25">
      <c r="A18" s="24" t="s">
        <v>49</v>
      </c>
      <c r="B18" s="22" t="s">
        <v>33</v>
      </c>
      <c r="C18" s="3" t="s">
        <v>10</v>
      </c>
      <c r="D18" s="8" t="s">
        <v>27</v>
      </c>
      <c r="E18" s="3" t="s">
        <v>154</v>
      </c>
      <c r="F18" s="28">
        <v>3000000</v>
      </c>
      <c r="G18" s="18">
        <v>285</v>
      </c>
      <c r="H18" s="38"/>
      <c r="I18" s="38"/>
      <c r="J18" s="38"/>
      <c r="K18" s="38"/>
      <c r="L18" s="13"/>
    </row>
    <row r="19" spans="1:12" x14ac:dyDescent="0.25">
      <c r="A19" s="24" t="s">
        <v>50</v>
      </c>
      <c r="B19" s="22" t="s">
        <v>33</v>
      </c>
      <c r="C19" s="3" t="s">
        <v>10</v>
      </c>
      <c r="D19" s="8" t="s">
        <v>28</v>
      </c>
      <c r="E19" s="3" t="s">
        <v>156</v>
      </c>
      <c r="F19" s="28">
        <v>1500000</v>
      </c>
      <c r="G19" s="18">
        <v>560</v>
      </c>
      <c r="H19" s="38"/>
      <c r="I19" s="38"/>
      <c r="J19" s="38"/>
      <c r="K19" s="38"/>
      <c r="L19" s="13"/>
    </row>
    <row r="20" spans="1:12" x14ac:dyDescent="0.25">
      <c r="A20" s="24" t="s">
        <v>51</v>
      </c>
      <c r="B20" s="22" t="s">
        <v>33</v>
      </c>
      <c r="C20" s="3" t="s">
        <v>10</v>
      </c>
      <c r="D20" s="8" t="s">
        <v>29</v>
      </c>
      <c r="E20" s="3" t="s">
        <v>154</v>
      </c>
      <c r="F20" s="28">
        <v>3000000</v>
      </c>
      <c r="G20" s="18">
        <v>615</v>
      </c>
      <c r="H20" s="38"/>
      <c r="I20" s="38"/>
      <c r="J20" s="38"/>
      <c r="K20" s="38"/>
      <c r="L20" s="13"/>
    </row>
    <row r="21" spans="1:12" x14ac:dyDescent="0.25">
      <c r="A21" s="24" t="s">
        <v>52</v>
      </c>
      <c r="B21" s="22" t="s">
        <v>35</v>
      </c>
      <c r="C21" s="2" t="s">
        <v>9</v>
      </c>
      <c r="D21" s="10" t="s">
        <v>20</v>
      </c>
      <c r="E21" s="3" t="s">
        <v>153</v>
      </c>
      <c r="F21" s="28">
        <v>500000</v>
      </c>
      <c r="G21" s="18">
        <v>151</v>
      </c>
      <c r="H21" s="38"/>
      <c r="I21" s="38"/>
      <c r="J21" s="38"/>
      <c r="K21" s="38"/>
      <c r="L21" s="13"/>
    </row>
    <row r="22" spans="1:12" x14ac:dyDescent="0.25">
      <c r="A22" s="24" t="s">
        <v>53</v>
      </c>
      <c r="B22" s="22" t="s">
        <v>36</v>
      </c>
      <c r="C22" s="2" t="s">
        <v>16</v>
      </c>
      <c r="D22" s="10" t="s">
        <v>30</v>
      </c>
      <c r="E22" s="3" t="s">
        <v>111</v>
      </c>
      <c r="F22" s="28">
        <v>300000</v>
      </c>
      <c r="G22" s="18">
        <v>70</v>
      </c>
      <c r="H22" s="38"/>
      <c r="I22" s="38"/>
      <c r="J22" s="38"/>
      <c r="K22" s="38"/>
      <c r="L22" s="13"/>
    </row>
    <row r="23" spans="1:12" x14ac:dyDescent="0.25">
      <c r="A23" s="24" t="s">
        <v>54</v>
      </c>
      <c r="B23" s="22" t="s">
        <v>36</v>
      </c>
      <c r="C23" s="2" t="s">
        <v>17</v>
      </c>
      <c r="D23" s="10" t="s">
        <v>31</v>
      </c>
      <c r="E23" s="2" t="s">
        <v>154</v>
      </c>
      <c r="F23" s="28">
        <v>1200000</v>
      </c>
      <c r="G23" s="18">
        <v>12634</v>
      </c>
      <c r="H23" s="38"/>
      <c r="I23" s="38"/>
      <c r="J23" s="38"/>
      <c r="K23" s="38"/>
      <c r="L23" s="13"/>
    </row>
    <row r="24" spans="1:12" ht="15.75" thickBot="1" x14ac:dyDescent="0.3">
      <c r="A24" s="25" t="s">
        <v>55</v>
      </c>
      <c r="B24" s="7" t="s">
        <v>37</v>
      </c>
      <c r="C24" s="5" t="s">
        <v>18</v>
      </c>
      <c r="D24" s="11"/>
      <c r="E24" s="2" t="s">
        <v>18</v>
      </c>
      <c r="F24" s="69">
        <v>0</v>
      </c>
      <c r="G24" s="19">
        <v>2000</v>
      </c>
      <c r="H24" s="39"/>
      <c r="I24" s="39"/>
      <c r="J24" s="39"/>
      <c r="K24" s="39"/>
      <c r="L24" s="14"/>
    </row>
    <row r="25" spans="1:12" ht="15.75" thickBot="1" x14ac:dyDescent="0.3">
      <c r="A25" s="1"/>
      <c r="D25" s="26" t="s">
        <v>57</v>
      </c>
      <c r="E25" s="26"/>
      <c r="F25" s="49">
        <f>SUM(F8:F24)</f>
        <v>14850000</v>
      </c>
      <c r="G25" s="27">
        <f>SUM(G8:G24)</f>
        <v>29195</v>
      </c>
      <c r="H25" s="40"/>
      <c r="I25" s="40"/>
      <c r="J25" s="40"/>
      <c r="K25" s="40"/>
    </row>
    <row r="26" spans="1:12" x14ac:dyDescent="0.25">
      <c r="A26" s="1"/>
    </row>
  </sheetData>
  <autoFilter ref="A6:L25" xr:uid="{00000000-0001-0000-0000-000000000000}">
    <filterColumn colId="7" showButton="0"/>
    <filterColumn colId="8" showButton="0"/>
    <filterColumn colId="9" showButton="0"/>
  </autoFilter>
  <mergeCells count="13">
    <mergeCell ref="A2:L2"/>
    <mergeCell ref="A5:D5"/>
    <mergeCell ref="A3:L3"/>
    <mergeCell ref="A4:L4"/>
    <mergeCell ref="H6:K6"/>
    <mergeCell ref="A6:A7"/>
    <mergeCell ref="B6:B7"/>
    <mergeCell ref="C6:C7"/>
    <mergeCell ref="D6:D7"/>
    <mergeCell ref="F6:F7"/>
    <mergeCell ref="G6:G7"/>
    <mergeCell ref="L6:L7"/>
    <mergeCell ref="E6:E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EB25-F2CD-4066-A793-8B28B3536DEA}">
  <dimension ref="A1:L23"/>
  <sheetViews>
    <sheetView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28.28515625" bestFit="1" customWidth="1"/>
    <col min="4" max="4" width="45.85546875" bestFit="1" customWidth="1"/>
    <col min="5" max="5" width="35.85546875" customWidth="1"/>
    <col min="6" max="6" width="19.5703125" customWidth="1"/>
    <col min="7" max="7" width="23.28515625" bestFit="1" customWidth="1"/>
    <col min="8" max="8" width="10.42578125" customWidth="1"/>
    <col min="9" max="10" width="11.7109375" customWidth="1"/>
    <col min="11" max="11" width="10.85546875" customWidth="1"/>
  </cols>
  <sheetData>
    <row r="1" spans="1:12" ht="15.75" thickBot="1" x14ac:dyDescent="0.3"/>
    <row r="2" spans="1:12" ht="35.25" thickBot="1" x14ac:dyDescent="0.6">
      <c r="A2" s="156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8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45689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59"/>
    </row>
    <row r="5" spans="1:12" ht="16.5" thickBot="1" x14ac:dyDescent="0.3">
      <c r="A5" s="119" t="s">
        <v>110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60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4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5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.75" x14ac:dyDescent="0.25">
      <c r="A8" s="52" t="s">
        <v>118</v>
      </c>
      <c r="B8" s="3" t="s">
        <v>89</v>
      </c>
      <c r="C8" s="3" t="s">
        <v>119</v>
      </c>
      <c r="D8" s="8" t="s">
        <v>120</v>
      </c>
      <c r="E8" s="3" t="s">
        <v>159</v>
      </c>
      <c r="F8" s="28">
        <v>380000</v>
      </c>
      <c r="G8" s="17">
        <v>3222</v>
      </c>
      <c r="H8" s="51"/>
      <c r="I8" s="51"/>
      <c r="J8" s="51"/>
      <c r="K8" s="51"/>
      <c r="L8" s="50"/>
    </row>
    <row r="9" spans="1:12" x14ac:dyDescent="0.25">
      <c r="A9" s="8" t="s">
        <v>58</v>
      </c>
      <c r="B9" s="3" t="s">
        <v>89</v>
      </c>
      <c r="C9" s="3" t="s">
        <v>59</v>
      </c>
      <c r="D9" s="8" t="s">
        <v>60</v>
      </c>
      <c r="E9" s="3" t="s">
        <v>160</v>
      </c>
      <c r="F9" s="28">
        <v>2400000</v>
      </c>
      <c r="G9" s="17">
        <v>861.66</v>
      </c>
      <c r="H9" s="36"/>
      <c r="I9" s="36"/>
      <c r="J9" s="36"/>
      <c r="K9" s="36"/>
      <c r="L9" s="12"/>
    </row>
    <row r="10" spans="1:12" x14ac:dyDescent="0.25">
      <c r="A10" s="8" t="s">
        <v>61</v>
      </c>
      <c r="B10" s="3" t="s">
        <v>90</v>
      </c>
      <c r="C10" s="3" t="s">
        <v>62</v>
      </c>
      <c r="D10" s="8" t="s">
        <v>63</v>
      </c>
      <c r="E10" s="3" t="s">
        <v>159</v>
      </c>
      <c r="F10" s="28">
        <v>1200000</v>
      </c>
      <c r="G10" s="17">
        <v>786</v>
      </c>
      <c r="H10" s="37"/>
      <c r="I10" s="37"/>
      <c r="J10" s="37"/>
      <c r="K10" s="37"/>
      <c r="L10" s="13"/>
    </row>
    <row r="11" spans="1:12" x14ac:dyDescent="0.25">
      <c r="A11" s="8" t="s">
        <v>64</v>
      </c>
      <c r="B11" s="3" t="s">
        <v>90</v>
      </c>
      <c r="C11" s="3" t="s">
        <v>65</v>
      </c>
      <c r="D11" s="8" t="s">
        <v>66</v>
      </c>
      <c r="E11" s="3" t="s">
        <v>161</v>
      </c>
      <c r="F11" s="28">
        <v>298000</v>
      </c>
      <c r="G11" s="17">
        <v>0</v>
      </c>
      <c r="H11" s="37"/>
      <c r="I11" s="37"/>
      <c r="J11" s="37"/>
      <c r="K11" s="37"/>
      <c r="L11" s="13"/>
    </row>
    <row r="12" spans="1:12" x14ac:dyDescent="0.25">
      <c r="A12" s="8" t="s">
        <v>67</v>
      </c>
      <c r="B12" s="3" t="s">
        <v>33</v>
      </c>
      <c r="C12" s="3" t="s">
        <v>10</v>
      </c>
      <c r="D12" s="8" t="s">
        <v>68</v>
      </c>
      <c r="E12" s="3" t="s">
        <v>156</v>
      </c>
      <c r="F12" s="28">
        <v>900000</v>
      </c>
      <c r="G12" s="17">
        <v>320</v>
      </c>
      <c r="H12" s="37"/>
      <c r="I12" s="37"/>
      <c r="J12" s="37"/>
      <c r="K12" s="37"/>
      <c r="L12" s="13"/>
    </row>
    <row r="13" spans="1:12" x14ac:dyDescent="0.25">
      <c r="A13" s="8" t="s">
        <v>69</v>
      </c>
      <c r="B13" s="3" t="s">
        <v>33</v>
      </c>
      <c r="C13" s="3" t="s">
        <v>70</v>
      </c>
      <c r="D13" s="8" t="s">
        <v>71</v>
      </c>
      <c r="E13" s="3" t="s">
        <v>154</v>
      </c>
      <c r="F13" s="28">
        <v>1500000</v>
      </c>
      <c r="G13" s="18">
        <v>998</v>
      </c>
      <c r="H13" s="37"/>
      <c r="I13" s="37"/>
      <c r="J13" s="37"/>
      <c r="K13" s="37"/>
      <c r="L13" s="13"/>
    </row>
    <row r="14" spans="1:12" x14ac:dyDescent="0.25">
      <c r="A14" s="8" t="s">
        <v>72</v>
      </c>
      <c r="B14" s="3" t="s">
        <v>36</v>
      </c>
      <c r="C14" s="3" t="s">
        <v>73</v>
      </c>
      <c r="D14" s="8" t="s">
        <v>74</v>
      </c>
      <c r="E14" s="3" t="s">
        <v>162</v>
      </c>
      <c r="F14" s="28">
        <v>300000</v>
      </c>
      <c r="G14" s="18">
        <v>80</v>
      </c>
      <c r="H14" s="38"/>
      <c r="I14" s="38"/>
      <c r="J14" s="38"/>
      <c r="K14" s="38"/>
      <c r="L14" s="13"/>
    </row>
    <row r="15" spans="1:12" x14ac:dyDescent="0.25">
      <c r="A15" s="8" t="s">
        <v>75</v>
      </c>
      <c r="B15" s="3" t="s">
        <v>36</v>
      </c>
      <c r="C15" s="3" t="s">
        <v>17</v>
      </c>
      <c r="D15" s="8" t="s">
        <v>76</v>
      </c>
      <c r="E15" s="3" t="s">
        <v>154</v>
      </c>
      <c r="F15" s="28">
        <v>1200000</v>
      </c>
      <c r="G15" s="18">
        <v>7059.5</v>
      </c>
      <c r="H15" s="38"/>
      <c r="I15" s="38"/>
      <c r="J15" s="38"/>
      <c r="K15" s="38"/>
      <c r="L15" s="13"/>
    </row>
    <row r="16" spans="1:12" x14ac:dyDescent="0.25">
      <c r="A16" s="8" t="s">
        <v>77</v>
      </c>
      <c r="B16" s="3" t="s">
        <v>91</v>
      </c>
      <c r="C16" s="3" t="s">
        <v>78</v>
      </c>
      <c r="D16" s="8" t="s">
        <v>117</v>
      </c>
      <c r="E16" s="3"/>
      <c r="F16" s="28">
        <v>0</v>
      </c>
      <c r="G16" s="18">
        <v>300</v>
      </c>
      <c r="H16" s="38"/>
      <c r="I16" s="38"/>
      <c r="J16" s="38"/>
      <c r="K16" s="38"/>
      <c r="L16" s="13"/>
    </row>
    <row r="17" spans="1:12" ht="14.25" customHeight="1" x14ac:dyDescent="0.25">
      <c r="A17" s="8" t="s">
        <v>79</v>
      </c>
      <c r="B17" s="4" t="s">
        <v>33</v>
      </c>
      <c r="C17" s="4" t="s">
        <v>80</v>
      </c>
      <c r="D17" s="9" t="s">
        <v>81</v>
      </c>
      <c r="E17" s="3" t="s">
        <v>154</v>
      </c>
      <c r="F17" s="28">
        <v>650000</v>
      </c>
      <c r="G17" s="18">
        <v>1610</v>
      </c>
      <c r="H17" s="38"/>
      <c r="I17" s="38"/>
      <c r="J17" s="38"/>
      <c r="K17" s="38"/>
      <c r="L17" s="13"/>
    </row>
    <row r="18" spans="1:12" x14ac:dyDescent="0.25">
      <c r="A18" s="8" t="s">
        <v>82</v>
      </c>
      <c r="B18" s="3" t="s">
        <v>89</v>
      </c>
      <c r="C18" s="3" t="s">
        <v>83</v>
      </c>
      <c r="D18" s="8" t="s">
        <v>84</v>
      </c>
      <c r="E18" s="3" t="s">
        <v>159</v>
      </c>
      <c r="F18" s="28">
        <v>1000000</v>
      </c>
      <c r="G18" s="18">
        <v>240</v>
      </c>
      <c r="H18" s="38"/>
      <c r="I18" s="38"/>
      <c r="J18" s="38"/>
      <c r="K18" s="38"/>
      <c r="L18" s="13"/>
    </row>
    <row r="19" spans="1:12" x14ac:dyDescent="0.25">
      <c r="A19" s="8" t="s">
        <v>85</v>
      </c>
      <c r="B19" s="3" t="s">
        <v>36</v>
      </c>
      <c r="C19" s="3" t="s">
        <v>17</v>
      </c>
      <c r="D19" s="8" t="s">
        <v>76</v>
      </c>
      <c r="E19" s="3" t="s">
        <v>154</v>
      </c>
      <c r="F19" s="28">
        <v>1200000</v>
      </c>
      <c r="G19" s="18">
        <v>3349</v>
      </c>
      <c r="H19" s="38"/>
      <c r="I19" s="38"/>
      <c r="J19" s="38"/>
      <c r="K19" s="38"/>
      <c r="L19" s="13"/>
    </row>
    <row r="20" spans="1:12" x14ac:dyDescent="0.25">
      <c r="A20" s="8" t="s">
        <v>86</v>
      </c>
      <c r="B20" s="3" t="s">
        <v>32</v>
      </c>
      <c r="C20" s="3" t="s">
        <v>87</v>
      </c>
      <c r="D20" s="8" t="s">
        <v>88</v>
      </c>
      <c r="E20" s="3" t="s">
        <v>154</v>
      </c>
      <c r="F20" s="28">
        <v>985884</v>
      </c>
      <c r="G20" s="18">
        <v>3971</v>
      </c>
      <c r="H20" s="38"/>
      <c r="I20" s="38"/>
      <c r="J20" s="38"/>
      <c r="K20" s="38"/>
      <c r="L20" s="13"/>
    </row>
    <row r="21" spans="1:12" ht="15.75" thickBot="1" x14ac:dyDescent="0.3">
      <c r="A21" s="8"/>
      <c r="B21" s="22"/>
      <c r="C21" s="2"/>
      <c r="D21" s="10"/>
      <c r="E21" s="61"/>
      <c r="F21" s="15"/>
      <c r="G21" s="18"/>
      <c r="H21" s="38"/>
      <c r="I21" s="38"/>
      <c r="J21" s="38"/>
      <c r="K21" s="38"/>
      <c r="L21" s="13"/>
    </row>
    <row r="22" spans="1:12" ht="15.75" thickBot="1" x14ac:dyDescent="0.3">
      <c r="A22" s="1"/>
      <c r="D22" s="29" t="s">
        <v>57</v>
      </c>
      <c r="E22" s="29"/>
      <c r="F22" s="30">
        <f>SUM(F7:F21)</f>
        <v>12013884</v>
      </c>
      <c r="G22" s="31">
        <f>SUM(G7:G21)</f>
        <v>22797.16</v>
      </c>
      <c r="H22" s="40"/>
      <c r="I22" s="40"/>
      <c r="J22" s="40"/>
    </row>
    <row r="23" spans="1:12" x14ac:dyDescent="0.25">
      <c r="A23" s="1"/>
    </row>
  </sheetData>
  <autoFilter ref="A6:K20" xr:uid="{E057EB25-F2CD-4066-A793-8B28B3536DEA}">
    <filterColumn colId="7" showButton="0"/>
    <filterColumn colId="8" showButton="0"/>
    <filterColumn colId="9" showButton="0"/>
  </autoFilter>
  <mergeCells count="13">
    <mergeCell ref="L6:L7"/>
    <mergeCell ref="A2:L2"/>
    <mergeCell ref="A4:L4"/>
    <mergeCell ref="A3:L3"/>
    <mergeCell ref="A5:L5"/>
    <mergeCell ref="G6:G7"/>
    <mergeCell ref="H6:K6"/>
    <mergeCell ref="A6:A7"/>
    <mergeCell ref="B6:B7"/>
    <mergeCell ref="C6:C7"/>
    <mergeCell ref="D6:D7"/>
    <mergeCell ref="F6:F7"/>
    <mergeCell ref="E6:E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BA88-B670-4653-8723-10B6F859CD8B}">
  <dimension ref="A1:L23"/>
  <sheetViews>
    <sheetView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28.28515625" bestFit="1" customWidth="1"/>
    <col min="4" max="4" width="45.85546875" bestFit="1" customWidth="1"/>
    <col min="5" max="5" width="29.42578125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45717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4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5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.75" customHeight="1" x14ac:dyDescent="0.25">
      <c r="A8" s="3" t="s">
        <v>122</v>
      </c>
      <c r="B8" s="3" t="s">
        <v>33</v>
      </c>
      <c r="C8" s="3" t="s">
        <v>123</v>
      </c>
      <c r="D8" s="3" t="s">
        <v>24</v>
      </c>
      <c r="E8" s="3" t="s">
        <v>163</v>
      </c>
      <c r="F8" s="28">
        <v>2800000</v>
      </c>
      <c r="G8" s="17">
        <v>904</v>
      </c>
      <c r="H8" s="36"/>
      <c r="I8" s="36"/>
      <c r="J8" s="36"/>
      <c r="K8" s="36"/>
      <c r="L8" s="12"/>
    </row>
    <row r="9" spans="1:12" x14ac:dyDescent="0.25">
      <c r="A9" s="3" t="s">
        <v>92</v>
      </c>
      <c r="B9" s="3" t="s">
        <v>33</v>
      </c>
      <c r="C9" s="3" t="s">
        <v>80</v>
      </c>
      <c r="D9" s="3" t="s">
        <v>104</v>
      </c>
      <c r="E9" s="3" t="s">
        <v>154</v>
      </c>
      <c r="F9" s="21">
        <v>650000</v>
      </c>
      <c r="G9" s="17">
        <v>500</v>
      </c>
      <c r="H9" s="36"/>
      <c r="I9" s="36"/>
      <c r="J9" s="36"/>
      <c r="K9" s="36"/>
      <c r="L9" s="12"/>
    </row>
    <row r="10" spans="1:12" x14ac:dyDescent="0.25">
      <c r="A10" s="3" t="s">
        <v>93</v>
      </c>
      <c r="B10" s="3" t="s">
        <v>108</v>
      </c>
      <c r="C10" s="3" t="s">
        <v>105</v>
      </c>
      <c r="D10" s="3" t="s">
        <v>106</v>
      </c>
      <c r="E10" s="3" t="s">
        <v>159</v>
      </c>
      <c r="F10" s="28">
        <v>1500000</v>
      </c>
      <c r="G10" s="17">
        <v>600</v>
      </c>
      <c r="H10" s="37"/>
      <c r="I10" s="37"/>
      <c r="J10" s="37"/>
      <c r="K10" s="37"/>
      <c r="L10" s="13"/>
    </row>
    <row r="11" spans="1:12" x14ac:dyDescent="0.25">
      <c r="A11" s="3" t="s">
        <v>94</v>
      </c>
      <c r="B11" s="3" t="s">
        <v>91</v>
      </c>
      <c r="C11" s="3" t="s">
        <v>107</v>
      </c>
      <c r="D11" s="3"/>
      <c r="E11" s="3"/>
      <c r="F11" s="21">
        <v>0</v>
      </c>
      <c r="G11" s="17">
        <v>0</v>
      </c>
      <c r="H11" s="37"/>
      <c r="I11" s="37"/>
      <c r="J11" s="37"/>
      <c r="K11" s="37"/>
      <c r="L11" s="13"/>
    </row>
    <row r="12" spans="1:12" x14ac:dyDescent="0.25">
      <c r="A12" s="3" t="s">
        <v>95</v>
      </c>
      <c r="B12" s="3" t="s">
        <v>108</v>
      </c>
      <c r="C12" s="3" t="s">
        <v>124</v>
      </c>
      <c r="D12" s="3" t="s">
        <v>125</v>
      </c>
      <c r="E12" s="3" t="s">
        <v>159</v>
      </c>
      <c r="F12" s="28">
        <v>1000000</v>
      </c>
      <c r="G12" s="17">
        <v>597.29999999999995</v>
      </c>
      <c r="H12" s="37"/>
      <c r="I12" s="37"/>
      <c r="J12" s="37"/>
      <c r="K12" s="37"/>
      <c r="L12" s="13"/>
    </row>
    <row r="13" spans="1:12" x14ac:dyDescent="0.25">
      <c r="A13" s="3" t="s">
        <v>96</v>
      </c>
      <c r="B13" s="3" t="s">
        <v>32</v>
      </c>
      <c r="C13" s="3" t="s">
        <v>126</v>
      </c>
      <c r="D13" s="3" t="s">
        <v>127</v>
      </c>
      <c r="E13" s="3" t="s">
        <v>164</v>
      </c>
      <c r="F13" s="21">
        <v>0</v>
      </c>
      <c r="G13" s="18">
        <v>0</v>
      </c>
      <c r="H13" s="37"/>
      <c r="I13" s="37"/>
      <c r="J13" s="37"/>
      <c r="K13" s="37"/>
      <c r="L13" s="13"/>
    </row>
    <row r="14" spans="1:12" x14ac:dyDescent="0.25">
      <c r="A14" s="3" t="s">
        <v>97</v>
      </c>
      <c r="B14" s="3" t="s">
        <v>33</v>
      </c>
      <c r="C14" s="3" t="s">
        <v>128</v>
      </c>
      <c r="D14" s="3" t="s">
        <v>129</v>
      </c>
      <c r="E14" s="3" t="s">
        <v>154</v>
      </c>
      <c r="F14" s="21">
        <v>750000</v>
      </c>
      <c r="G14" s="18">
        <v>75</v>
      </c>
      <c r="H14" s="38"/>
      <c r="I14" s="38"/>
      <c r="J14" s="38"/>
      <c r="K14" s="38"/>
      <c r="L14" s="13"/>
    </row>
    <row r="15" spans="1:12" x14ac:dyDescent="0.25">
      <c r="A15" s="3" t="s">
        <v>98</v>
      </c>
      <c r="B15" s="3" t="s">
        <v>33</v>
      </c>
      <c r="C15" s="3" t="s">
        <v>130</v>
      </c>
      <c r="D15" s="3" t="s">
        <v>131</v>
      </c>
      <c r="E15" s="3"/>
      <c r="F15" s="21">
        <v>129612</v>
      </c>
      <c r="G15" s="18">
        <v>2147.6</v>
      </c>
      <c r="H15" s="38"/>
      <c r="I15" s="38"/>
      <c r="J15" s="38"/>
      <c r="K15" s="38"/>
      <c r="L15" s="13"/>
    </row>
    <row r="16" spans="1:12" x14ac:dyDescent="0.25">
      <c r="A16" s="3" t="s">
        <v>99</v>
      </c>
      <c r="B16" s="3" t="s">
        <v>32</v>
      </c>
      <c r="C16" s="3" t="s">
        <v>132</v>
      </c>
      <c r="D16" s="3" t="s">
        <v>133</v>
      </c>
      <c r="E16" s="3" t="s">
        <v>154</v>
      </c>
      <c r="F16" s="21">
        <v>600000</v>
      </c>
      <c r="G16" s="18">
        <v>105</v>
      </c>
      <c r="H16" s="38"/>
      <c r="I16" s="38"/>
      <c r="J16" s="38"/>
      <c r="K16" s="38"/>
      <c r="L16" s="13"/>
    </row>
    <row r="17" spans="1:12" ht="14.25" customHeight="1" x14ac:dyDescent="0.25">
      <c r="A17" s="3" t="s">
        <v>100</v>
      </c>
      <c r="B17" s="57" t="s">
        <v>33</v>
      </c>
      <c r="C17" s="4" t="s">
        <v>134</v>
      </c>
      <c r="D17" s="4" t="s">
        <v>135</v>
      </c>
      <c r="E17" s="3" t="s">
        <v>165</v>
      </c>
      <c r="F17" s="28">
        <v>1800000</v>
      </c>
      <c r="G17" s="18">
        <v>3810</v>
      </c>
      <c r="H17" s="38"/>
      <c r="I17" s="38"/>
      <c r="J17" s="38"/>
      <c r="K17" s="38"/>
      <c r="L17" s="13"/>
    </row>
    <row r="18" spans="1:12" x14ac:dyDescent="0.25">
      <c r="A18" s="3" t="s">
        <v>101</v>
      </c>
      <c r="B18" s="3" t="s">
        <v>33</v>
      </c>
      <c r="C18" s="3" t="s">
        <v>80</v>
      </c>
      <c r="D18" s="3" t="s">
        <v>136</v>
      </c>
      <c r="E18" s="3" t="s">
        <v>166</v>
      </c>
      <c r="F18" s="21">
        <v>650000</v>
      </c>
      <c r="G18" s="18">
        <v>985</v>
      </c>
      <c r="H18" s="38"/>
      <c r="I18" s="38"/>
      <c r="J18" s="38"/>
      <c r="K18" s="38"/>
      <c r="L18" s="13"/>
    </row>
    <row r="19" spans="1:12" x14ac:dyDescent="0.25">
      <c r="A19" s="3" t="s">
        <v>102</v>
      </c>
      <c r="B19" s="3" t="s">
        <v>33</v>
      </c>
      <c r="C19" s="4" t="s">
        <v>137</v>
      </c>
      <c r="D19" s="4" t="s">
        <v>135</v>
      </c>
      <c r="E19" s="3" t="s">
        <v>165</v>
      </c>
      <c r="F19" s="28">
        <v>4000000</v>
      </c>
      <c r="G19" s="18">
        <v>27033</v>
      </c>
      <c r="H19" s="38"/>
      <c r="I19" s="38"/>
      <c r="J19" s="38"/>
      <c r="K19" s="38"/>
      <c r="L19" s="13"/>
    </row>
    <row r="20" spans="1:12" x14ac:dyDescent="0.25">
      <c r="A20" s="8"/>
      <c r="B20" s="3"/>
      <c r="C20" s="4"/>
      <c r="D20" s="4"/>
      <c r="E20" s="59"/>
      <c r="F20" s="28"/>
      <c r="G20" s="18"/>
      <c r="H20" s="38"/>
      <c r="I20" s="38"/>
      <c r="J20" s="38"/>
      <c r="K20" s="38"/>
      <c r="L20" s="13"/>
    </row>
    <row r="21" spans="1:12" ht="15.75" thickBot="1" x14ac:dyDescent="0.3">
      <c r="A21" s="34"/>
      <c r="B21" s="7"/>
      <c r="C21" s="5"/>
      <c r="D21" s="11"/>
      <c r="E21" s="60"/>
      <c r="F21" s="20"/>
      <c r="G21" s="19"/>
      <c r="H21" s="38"/>
      <c r="I21" s="38"/>
      <c r="J21" s="38"/>
      <c r="K21" s="38"/>
      <c r="L21" s="13"/>
    </row>
    <row r="22" spans="1:12" ht="15.75" thickBot="1" x14ac:dyDescent="0.3">
      <c r="A22" s="1"/>
      <c r="D22" s="32" t="s">
        <v>57</v>
      </c>
      <c r="E22" s="26"/>
      <c r="F22" s="33">
        <f>SUM(F7:F21)</f>
        <v>13879612</v>
      </c>
      <c r="G22" s="27">
        <f>SUM(G7:G21)</f>
        <v>36756.9</v>
      </c>
      <c r="H22" s="39"/>
      <c r="I22" s="39"/>
      <c r="J22" s="39"/>
      <c r="K22" s="39"/>
      <c r="L22" s="14"/>
    </row>
    <row r="23" spans="1:12" x14ac:dyDescent="0.25">
      <c r="A23" s="1"/>
    </row>
  </sheetData>
  <autoFilter ref="A6:L19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A2:L2"/>
    <mergeCell ref="A3:L3"/>
    <mergeCell ref="A4:L4"/>
    <mergeCell ref="A5:D5"/>
    <mergeCell ref="A6:A7"/>
    <mergeCell ref="B6:B7"/>
    <mergeCell ref="C6:C7"/>
    <mergeCell ref="D6:D7"/>
    <mergeCell ref="F6:F7"/>
    <mergeCell ref="G6:G7"/>
    <mergeCell ref="H6:K6"/>
    <mergeCell ref="L6:L7"/>
    <mergeCell ref="E6:E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97BE-8D53-41B0-A09D-9C40E087239C}">
  <dimension ref="A1:L31"/>
  <sheetViews>
    <sheetView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32.140625" customWidth="1"/>
    <col min="4" max="4" width="42.5703125" customWidth="1"/>
    <col min="5" max="5" width="28.140625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45748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61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62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.75" customHeight="1" x14ac:dyDescent="0.25">
      <c r="A8" s="3" t="s">
        <v>103</v>
      </c>
      <c r="B8" s="4" t="s">
        <v>33</v>
      </c>
      <c r="C8" s="4" t="s">
        <v>80</v>
      </c>
      <c r="D8" s="9" t="s">
        <v>143</v>
      </c>
      <c r="E8" s="52" t="s">
        <v>154</v>
      </c>
      <c r="F8" s="21">
        <v>650000</v>
      </c>
      <c r="G8" s="17">
        <v>240</v>
      </c>
      <c r="H8" s="36"/>
      <c r="I8" s="36"/>
      <c r="J8" s="36"/>
      <c r="K8" s="36"/>
      <c r="L8" s="12"/>
    </row>
    <row r="9" spans="1:12" x14ac:dyDescent="0.25">
      <c r="A9" s="3" t="s">
        <v>138</v>
      </c>
      <c r="B9" s="3" t="s">
        <v>33</v>
      </c>
      <c r="C9" s="3" t="s">
        <v>10</v>
      </c>
      <c r="D9" s="8" t="s">
        <v>144</v>
      </c>
      <c r="E9" s="3" t="s">
        <v>165</v>
      </c>
      <c r="F9" s="28">
        <v>2800000</v>
      </c>
      <c r="G9" s="17">
        <v>4768</v>
      </c>
      <c r="H9" s="36"/>
      <c r="I9" s="36"/>
      <c r="J9" s="36"/>
      <c r="K9" s="36"/>
      <c r="L9" s="12"/>
    </row>
    <row r="10" spans="1:12" x14ac:dyDescent="0.25">
      <c r="A10" s="3" t="s">
        <v>139</v>
      </c>
      <c r="B10" s="3" t="s">
        <v>121</v>
      </c>
      <c r="C10" s="3" t="s">
        <v>145</v>
      </c>
      <c r="D10" s="8" t="s">
        <v>146</v>
      </c>
      <c r="E10" s="3" t="s">
        <v>165</v>
      </c>
      <c r="F10" s="28">
        <v>1100000</v>
      </c>
      <c r="G10" s="17">
        <v>1014.5</v>
      </c>
      <c r="H10" s="37"/>
      <c r="I10" s="37"/>
      <c r="J10" s="37"/>
      <c r="K10" s="37"/>
      <c r="L10" s="13"/>
    </row>
    <row r="11" spans="1:12" x14ac:dyDescent="0.25">
      <c r="A11" s="3" t="s">
        <v>140</v>
      </c>
      <c r="B11" s="3" t="s">
        <v>33</v>
      </c>
      <c r="C11" s="3" t="s">
        <v>147</v>
      </c>
      <c r="D11" s="8" t="s">
        <v>148</v>
      </c>
      <c r="E11" s="3" t="s">
        <v>165</v>
      </c>
      <c r="F11" s="21">
        <v>0</v>
      </c>
      <c r="G11" s="17">
        <v>650</v>
      </c>
      <c r="H11" s="37"/>
      <c r="I11" s="37"/>
      <c r="J11" s="37"/>
      <c r="K11" s="37"/>
      <c r="L11" s="13"/>
    </row>
    <row r="12" spans="1:12" x14ac:dyDescent="0.25">
      <c r="A12" s="3" t="s">
        <v>141</v>
      </c>
      <c r="B12" s="3" t="s">
        <v>33</v>
      </c>
      <c r="C12" s="3" t="s">
        <v>149</v>
      </c>
      <c r="D12" s="8" t="s">
        <v>150</v>
      </c>
      <c r="E12" s="3" t="s">
        <v>201</v>
      </c>
      <c r="F12" s="28">
        <v>500000</v>
      </c>
      <c r="G12" s="17">
        <v>270</v>
      </c>
      <c r="H12" s="37"/>
      <c r="I12" s="37"/>
      <c r="J12" s="37"/>
      <c r="K12" s="37"/>
      <c r="L12" s="13"/>
    </row>
    <row r="13" spans="1:12" x14ac:dyDescent="0.25">
      <c r="A13" s="3" t="s">
        <v>142</v>
      </c>
      <c r="B13" s="3" t="s">
        <v>33</v>
      </c>
      <c r="C13" s="3" t="s">
        <v>151</v>
      </c>
      <c r="D13" s="8" t="s">
        <v>152</v>
      </c>
      <c r="E13" s="3"/>
      <c r="F13" s="21">
        <v>800000</v>
      </c>
      <c r="G13" s="18">
        <v>195</v>
      </c>
      <c r="H13" s="37"/>
      <c r="I13" s="37"/>
      <c r="J13" s="37"/>
      <c r="K13" s="37"/>
      <c r="L13" s="13"/>
    </row>
    <row r="14" spans="1:12" x14ac:dyDescent="0.25">
      <c r="A14" s="3" t="s">
        <v>167</v>
      </c>
      <c r="B14" s="57" t="s">
        <v>33</v>
      </c>
      <c r="C14" s="3" t="s">
        <v>134</v>
      </c>
      <c r="D14" s="8" t="s">
        <v>189</v>
      </c>
      <c r="E14" s="3"/>
      <c r="F14" s="28">
        <v>4000000</v>
      </c>
      <c r="G14" s="18"/>
      <c r="H14" s="38"/>
      <c r="I14" s="38"/>
      <c r="J14" s="38"/>
      <c r="K14" s="38"/>
      <c r="L14" s="13"/>
    </row>
    <row r="15" spans="1:12" x14ac:dyDescent="0.25">
      <c r="A15" s="3" t="s">
        <v>168</v>
      </c>
      <c r="B15" s="3" t="s">
        <v>32</v>
      </c>
      <c r="C15" s="3" t="s">
        <v>181</v>
      </c>
      <c r="D15" s="8" t="s">
        <v>190</v>
      </c>
      <c r="E15" s="3" t="s">
        <v>200</v>
      </c>
      <c r="F15" s="55">
        <v>0</v>
      </c>
      <c r="G15" s="18">
        <v>2000</v>
      </c>
      <c r="H15" s="38"/>
      <c r="I15" s="38"/>
      <c r="J15" s="38"/>
      <c r="K15" s="38"/>
      <c r="L15" s="13"/>
    </row>
    <row r="16" spans="1:12" x14ac:dyDescent="0.25">
      <c r="A16" s="3" t="s">
        <v>169</v>
      </c>
      <c r="B16" s="3" t="s">
        <v>32</v>
      </c>
      <c r="C16" s="3" t="s">
        <v>182</v>
      </c>
      <c r="D16" s="8" t="s">
        <v>191</v>
      </c>
      <c r="E16" s="3"/>
      <c r="F16" s="55">
        <v>57247</v>
      </c>
      <c r="G16" s="18"/>
      <c r="H16" s="38"/>
      <c r="I16" s="38"/>
      <c r="J16" s="38"/>
      <c r="K16" s="38"/>
      <c r="L16" s="13"/>
    </row>
    <row r="17" spans="1:12" x14ac:dyDescent="0.25">
      <c r="A17" s="3" t="s">
        <v>170</v>
      </c>
      <c r="B17" s="57" t="s">
        <v>37</v>
      </c>
      <c r="C17" s="3" t="s">
        <v>183</v>
      </c>
      <c r="D17" s="8" t="s">
        <v>192</v>
      </c>
      <c r="E17" s="3" t="s">
        <v>159</v>
      </c>
      <c r="F17" s="55">
        <v>150000</v>
      </c>
      <c r="G17" s="18">
        <v>466</v>
      </c>
      <c r="H17" s="38"/>
      <c r="I17" s="38"/>
      <c r="J17" s="38"/>
      <c r="K17" s="38"/>
      <c r="L17" s="13"/>
    </row>
    <row r="18" spans="1:12" x14ac:dyDescent="0.25">
      <c r="A18" s="3" t="s">
        <v>171</v>
      </c>
      <c r="B18" s="3" t="s">
        <v>108</v>
      </c>
      <c r="C18" s="4" t="s">
        <v>184</v>
      </c>
      <c r="D18" s="9" t="s">
        <v>193</v>
      </c>
      <c r="E18" s="3" t="s">
        <v>159</v>
      </c>
      <c r="F18" s="28">
        <v>1500000</v>
      </c>
      <c r="G18" s="18">
        <v>300</v>
      </c>
      <c r="H18" s="38"/>
      <c r="I18" s="38"/>
      <c r="J18" s="38"/>
      <c r="K18" s="38"/>
      <c r="L18" s="13"/>
    </row>
    <row r="19" spans="1:12" x14ac:dyDescent="0.25">
      <c r="A19" s="3" t="s">
        <v>172</v>
      </c>
      <c r="B19" s="3" t="s">
        <v>91</v>
      </c>
      <c r="C19" s="3" t="s">
        <v>185</v>
      </c>
      <c r="D19" s="8"/>
      <c r="E19" s="3" t="s">
        <v>165</v>
      </c>
      <c r="F19" s="3"/>
      <c r="G19" s="18">
        <v>3071.75</v>
      </c>
      <c r="H19" s="38"/>
      <c r="I19" s="38"/>
      <c r="J19" s="38"/>
      <c r="K19" s="38"/>
      <c r="L19" s="13"/>
    </row>
    <row r="20" spans="1:12" ht="30" x14ac:dyDescent="0.25">
      <c r="A20" s="3" t="s">
        <v>173</v>
      </c>
      <c r="B20" s="3" t="s">
        <v>33</v>
      </c>
      <c r="C20" s="4" t="s">
        <v>186</v>
      </c>
      <c r="D20" s="9" t="s">
        <v>194</v>
      </c>
      <c r="E20" s="4" t="s">
        <v>154</v>
      </c>
      <c r="F20" s="21">
        <v>700000</v>
      </c>
      <c r="G20" s="18">
        <v>1492</v>
      </c>
      <c r="H20" s="38"/>
      <c r="I20" s="38"/>
      <c r="J20" s="38"/>
      <c r="K20" s="38"/>
      <c r="L20" s="13"/>
    </row>
    <row r="21" spans="1:12" x14ac:dyDescent="0.25">
      <c r="A21" s="3" t="s">
        <v>174</v>
      </c>
      <c r="B21" s="3" t="s">
        <v>37</v>
      </c>
      <c r="C21" s="3" t="s">
        <v>17</v>
      </c>
      <c r="D21" s="8" t="s">
        <v>195</v>
      </c>
      <c r="E21" s="3" t="s">
        <v>159</v>
      </c>
      <c r="F21" s="28">
        <v>1200000</v>
      </c>
      <c r="G21" s="18">
        <v>30</v>
      </c>
      <c r="H21" s="38"/>
      <c r="I21" s="38"/>
      <c r="J21" s="38"/>
      <c r="K21" s="38"/>
      <c r="L21" s="13"/>
    </row>
    <row r="22" spans="1:12" x14ac:dyDescent="0.25">
      <c r="A22" s="3" t="s">
        <v>175</v>
      </c>
      <c r="B22" s="3" t="s">
        <v>37</v>
      </c>
      <c r="C22" s="3" t="s">
        <v>17</v>
      </c>
      <c r="D22" s="8" t="s">
        <v>195</v>
      </c>
      <c r="E22" s="3" t="s">
        <v>159</v>
      </c>
      <c r="F22" s="28">
        <v>1200000</v>
      </c>
      <c r="G22" s="18">
        <v>499.8</v>
      </c>
      <c r="H22" s="38"/>
      <c r="I22" s="38"/>
      <c r="J22" s="38"/>
      <c r="K22" s="38"/>
      <c r="L22" s="13"/>
    </row>
    <row r="23" spans="1:12" x14ac:dyDescent="0.25">
      <c r="A23" s="3" t="s">
        <v>176</v>
      </c>
      <c r="B23" s="3" t="s">
        <v>108</v>
      </c>
      <c r="C23" s="3" t="s">
        <v>187</v>
      </c>
      <c r="D23" s="8" t="s">
        <v>196</v>
      </c>
      <c r="E23" s="3" t="s">
        <v>136</v>
      </c>
      <c r="F23" s="28">
        <v>2500000</v>
      </c>
      <c r="G23" s="18">
        <v>1429.5</v>
      </c>
      <c r="H23" s="38"/>
      <c r="I23" s="38"/>
      <c r="J23" s="38"/>
      <c r="K23" s="38"/>
      <c r="L23" s="13"/>
    </row>
    <row r="24" spans="1:12" x14ac:dyDescent="0.25">
      <c r="A24" s="3" t="s">
        <v>177</v>
      </c>
      <c r="B24" s="3" t="s">
        <v>108</v>
      </c>
      <c r="C24" s="3" t="s">
        <v>187</v>
      </c>
      <c r="D24" s="8" t="s">
        <v>197</v>
      </c>
      <c r="E24" s="3" t="s">
        <v>136</v>
      </c>
      <c r="F24" s="28">
        <v>2500000</v>
      </c>
      <c r="G24" s="18">
        <v>1000</v>
      </c>
      <c r="H24" s="38"/>
      <c r="I24" s="38"/>
      <c r="J24" s="38"/>
      <c r="K24" s="38"/>
      <c r="L24" s="13"/>
    </row>
    <row r="25" spans="1:12" ht="14.25" customHeight="1" x14ac:dyDescent="0.25">
      <c r="A25" s="3" t="s">
        <v>178</v>
      </c>
      <c r="B25" s="3" t="s">
        <v>34</v>
      </c>
      <c r="C25" s="3" t="s">
        <v>188</v>
      </c>
      <c r="D25" s="8" t="s">
        <v>198</v>
      </c>
      <c r="E25" s="4" t="s">
        <v>154</v>
      </c>
      <c r="F25" s="21">
        <v>108000</v>
      </c>
      <c r="G25" s="18">
        <v>158</v>
      </c>
      <c r="H25" s="38"/>
      <c r="I25" s="38"/>
      <c r="J25" s="38"/>
      <c r="K25" s="38"/>
      <c r="L25" s="13"/>
    </row>
    <row r="26" spans="1:12" x14ac:dyDescent="0.25">
      <c r="A26" s="3" t="s">
        <v>179</v>
      </c>
      <c r="B26" s="3" t="s">
        <v>37</v>
      </c>
      <c r="C26" s="3" t="s">
        <v>17</v>
      </c>
      <c r="D26" s="8" t="s">
        <v>195</v>
      </c>
      <c r="E26" s="3" t="s">
        <v>159</v>
      </c>
      <c r="F26" s="28">
        <v>1200000</v>
      </c>
      <c r="G26" s="18">
        <v>300</v>
      </c>
      <c r="H26" s="38"/>
      <c r="I26" s="38"/>
      <c r="J26" s="38"/>
      <c r="K26" s="38"/>
      <c r="L26" s="13"/>
    </row>
    <row r="27" spans="1:12" x14ac:dyDescent="0.25">
      <c r="A27" s="3" t="s">
        <v>180</v>
      </c>
      <c r="B27" s="3" t="s">
        <v>33</v>
      </c>
      <c r="C27" s="3" t="s">
        <v>134</v>
      </c>
      <c r="D27" s="8" t="s">
        <v>199</v>
      </c>
      <c r="E27" s="4" t="s">
        <v>154</v>
      </c>
      <c r="F27" s="21">
        <v>800000</v>
      </c>
      <c r="G27" s="18">
        <v>371</v>
      </c>
      <c r="H27" s="38"/>
      <c r="I27" s="38"/>
      <c r="J27" s="38"/>
      <c r="K27" s="38"/>
      <c r="L27" s="13"/>
    </row>
    <row r="28" spans="1:12" x14ac:dyDescent="0.25">
      <c r="A28" s="8"/>
      <c r="B28" s="3"/>
      <c r="C28" s="4"/>
      <c r="D28" s="9"/>
      <c r="E28" s="4"/>
      <c r="F28" s="28"/>
      <c r="G28" s="18"/>
      <c r="H28" s="38"/>
      <c r="I28" s="38"/>
      <c r="J28" s="38"/>
      <c r="K28" s="38"/>
      <c r="L28" s="13"/>
    </row>
    <row r="29" spans="1:12" ht="15.75" thickBot="1" x14ac:dyDescent="0.3">
      <c r="A29" s="34"/>
      <c r="B29" s="7"/>
      <c r="C29" s="5"/>
      <c r="D29" s="11"/>
      <c r="E29" s="11"/>
      <c r="F29" s="20"/>
      <c r="G29" s="19"/>
      <c r="H29" s="38"/>
      <c r="I29" s="38"/>
      <c r="J29" s="38"/>
      <c r="K29" s="38"/>
      <c r="L29" s="13"/>
    </row>
    <row r="30" spans="1:12" ht="15.75" thickBot="1" x14ac:dyDescent="0.3">
      <c r="A30" s="1"/>
      <c r="D30" s="32" t="s">
        <v>57</v>
      </c>
      <c r="E30" s="26"/>
      <c r="F30" s="33">
        <f>SUM(F7:F29)</f>
        <v>21765247</v>
      </c>
      <c r="G30" s="27">
        <f>SUM(G7:G29)</f>
        <v>18255.55</v>
      </c>
      <c r="H30" s="39"/>
      <c r="I30" s="39"/>
      <c r="J30" s="39"/>
      <c r="K30" s="39"/>
      <c r="L30" s="14"/>
    </row>
    <row r="31" spans="1:12" x14ac:dyDescent="0.25">
      <c r="A31" s="1"/>
    </row>
  </sheetData>
  <autoFilter ref="A6:L27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F6:F7"/>
    <mergeCell ref="G6:G7"/>
    <mergeCell ref="E6:E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C70B-F0DD-42E8-91C7-22061E8FA478}">
  <dimension ref="A1:L24"/>
  <sheetViews>
    <sheetView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3.28515625" bestFit="1" customWidth="1"/>
    <col min="5" max="5" width="30.140625" bestFit="1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45778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61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62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.75" customHeight="1" x14ac:dyDescent="0.25">
      <c r="A8" s="3" t="s">
        <v>202</v>
      </c>
      <c r="B8" s="3" t="s">
        <v>33</v>
      </c>
      <c r="C8" s="3" t="s">
        <v>134</v>
      </c>
      <c r="D8" s="3" t="s">
        <v>189</v>
      </c>
      <c r="E8" s="3" t="s">
        <v>154</v>
      </c>
      <c r="F8" s="28">
        <v>6000000</v>
      </c>
      <c r="G8" s="17">
        <v>30575</v>
      </c>
      <c r="H8" s="36"/>
      <c r="I8" s="36"/>
      <c r="J8" s="36"/>
      <c r="K8" s="36"/>
      <c r="L8" s="12"/>
    </row>
    <row r="9" spans="1:12" x14ac:dyDescent="0.25">
      <c r="A9" s="3" t="s">
        <v>203</v>
      </c>
      <c r="B9" s="3" t="s">
        <v>33</v>
      </c>
      <c r="C9" s="3" t="s">
        <v>134</v>
      </c>
      <c r="D9" s="3" t="s">
        <v>215</v>
      </c>
      <c r="E9" s="3" t="s">
        <v>154</v>
      </c>
      <c r="F9" s="55">
        <v>650000</v>
      </c>
      <c r="G9" s="17">
        <v>632</v>
      </c>
      <c r="H9" s="36"/>
      <c r="I9" s="36"/>
      <c r="J9" s="36"/>
      <c r="K9" s="36"/>
      <c r="L9" s="12"/>
    </row>
    <row r="10" spans="1:12" x14ac:dyDescent="0.25">
      <c r="A10" s="3" t="s">
        <v>204</v>
      </c>
      <c r="B10" s="3" t="s">
        <v>37</v>
      </c>
      <c r="C10" s="3" t="s">
        <v>17</v>
      </c>
      <c r="D10" s="3" t="s">
        <v>195</v>
      </c>
      <c r="E10" s="3" t="s">
        <v>159</v>
      </c>
      <c r="F10" s="28">
        <v>1200000</v>
      </c>
      <c r="G10" s="17">
        <v>44</v>
      </c>
      <c r="H10" s="37"/>
      <c r="I10" s="37"/>
      <c r="J10" s="37"/>
      <c r="K10" s="37"/>
      <c r="L10" s="13"/>
    </row>
    <row r="11" spans="1:12" x14ac:dyDescent="0.25">
      <c r="A11" s="3" t="s">
        <v>205</v>
      </c>
      <c r="B11" s="4" t="s">
        <v>33</v>
      </c>
      <c r="C11" s="4" t="s">
        <v>216</v>
      </c>
      <c r="D11" s="4" t="s">
        <v>217</v>
      </c>
      <c r="E11" s="4" t="s">
        <v>154</v>
      </c>
      <c r="F11" s="28">
        <v>2750000</v>
      </c>
      <c r="G11" s="17">
        <v>5504</v>
      </c>
      <c r="H11" s="37"/>
      <c r="I11" s="37"/>
      <c r="J11" s="37"/>
      <c r="K11" s="37"/>
      <c r="L11" s="13"/>
    </row>
    <row r="12" spans="1:12" x14ac:dyDescent="0.25">
      <c r="A12" s="3" t="s">
        <v>206</v>
      </c>
      <c r="B12" s="3" t="s">
        <v>35</v>
      </c>
      <c r="C12" s="3" t="s">
        <v>218</v>
      </c>
      <c r="D12" s="3" t="s">
        <v>219</v>
      </c>
      <c r="E12" s="3" t="s">
        <v>153</v>
      </c>
      <c r="F12" s="28">
        <v>5000000</v>
      </c>
      <c r="G12" s="17">
        <v>4114</v>
      </c>
      <c r="H12" s="37"/>
      <c r="I12" s="37"/>
      <c r="J12" s="37"/>
      <c r="K12" s="37"/>
      <c r="L12" s="13"/>
    </row>
    <row r="13" spans="1:12" x14ac:dyDescent="0.25">
      <c r="A13" s="3" t="s">
        <v>207</v>
      </c>
      <c r="B13" s="57" t="s">
        <v>37</v>
      </c>
      <c r="C13" s="3" t="s">
        <v>220</v>
      </c>
      <c r="D13" s="3" t="s">
        <v>221</v>
      </c>
      <c r="E13" s="3" t="s">
        <v>233</v>
      </c>
      <c r="F13" s="55">
        <v>2056225.6</v>
      </c>
      <c r="G13" s="18">
        <v>320</v>
      </c>
      <c r="H13" s="37"/>
      <c r="I13" s="37"/>
      <c r="J13" s="37"/>
      <c r="K13" s="37"/>
      <c r="L13" s="13"/>
    </row>
    <row r="14" spans="1:12" x14ac:dyDescent="0.25">
      <c r="A14" s="3" t="s">
        <v>208</v>
      </c>
      <c r="B14" s="4" t="s">
        <v>35</v>
      </c>
      <c r="C14" s="4" t="s">
        <v>222</v>
      </c>
      <c r="D14" s="4" t="s">
        <v>223</v>
      </c>
      <c r="E14" s="4" t="s">
        <v>159</v>
      </c>
      <c r="F14" s="56">
        <v>600000</v>
      </c>
      <c r="G14" s="18">
        <v>1216</v>
      </c>
      <c r="H14" s="38"/>
      <c r="I14" s="38"/>
      <c r="J14" s="38"/>
      <c r="K14" s="38"/>
      <c r="L14" s="13"/>
    </row>
    <row r="15" spans="1:12" x14ac:dyDescent="0.25">
      <c r="A15" s="3" t="s">
        <v>209</v>
      </c>
      <c r="B15" s="3" t="s">
        <v>114</v>
      </c>
      <c r="C15" s="3" t="s">
        <v>224</v>
      </c>
      <c r="D15" s="3" t="s">
        <v>19</v>
      </c>
      <c r="E15" s="3" t="s">
        <v>236</v>
      </c>
      <c r="F15" s="55">
        <v>0</v>
      </c>
      <c r="G15" s="18">
        <v>150</v>
      </c>
      <c r="H15" s="38"/>
      <c r="I15" s="38"/>
      <c r="J15" s="38"/>
      <c r="K15" s="38"/>
      <c r="L15" s="13"/>
    </row>
    <row r="16" spans="1:12" x14ac:dyDescent="0.25">
      <c r="A16" s="3" t="s">
        <v>210</v>
      </c>
      <c r="B16" s="3" t="s">
        <v>37</v>
      </c>
      <c r="C16" s="3" t="s">
        <v>225</v>
      </c>
      <c r="D16" s="3" t="s">
        <v>226</v>
      </c>
      <c r="E16" s="3" t="s">
        <v>159</v>
      </c>
      <c r="F16" s="55">
        <v>2056255.6</v>
      </c>
      <c r="G16" s="18">
        <v>6423.6</v>
      </c>
      <c r="H16" s="38"/>
      <c r="I16" s="38"/>
      <c r="J16" s="38"/>
      <c r="K16" s="38"/>
      <c r="L16" s="13"/>
    </row>
    <row r="17" spans="1:12" ht="30" x14ac:dyDescent="0.25">
      <c r="A17" s="3" t="s">
        <v>211</v>
      </c>
      <c r="B17" s="57" t="s">
        <v>89</v>
      </c>
      <c r="C17" s="3" t="s">
        <v>119</v>
      </c>
      <c r="D17" s="4" t="s">
        <v>227</v>
      </c>
      <c r="E17" s="3" t="s">
        <v>159</v>
      </c>
      <c r="F17" s="55">
        <v>380000</v>
      </c>
      <c r="G17" s="18">
        <v>1059</v>
      </c>
      <c r="H17" s="38"/>
      <c r="I17" s="38"/>
      <c r="J17" s="38"/>
      <c r="K17" s="38"/>
      <c r="L17" s="13"/>
    </row>
    <row r="18" spans="1:12" x14ac:dyDescent="0.25">
      <c r="A18" s="3" t="s">
        <v>212</v>
      </c>
      <c r="B18" s="3" t="s">
        <v>91</v>
      </c>
      <c r="C18" s="3" t="s">
        <v>228</v>
      </c>
      <c r="D18" s="3" t="s">
        <v>19</v>
      </c>
      <c r="E18" s="3" t="s">
        <v>234</v>
      </c>
      <c r="F18" s="55">
        <v>0</v>
      </c>
      <c r="G18" s="18">
        <v>1300</v>
      </c>
      <c r="H18" s="38"/>
      <c r="I18" s="38"/>
      <c r="J18" s="38"/>
      <c r="K18" s="38"/>
      <c r="L18" s="13"/>
    </row>
    <row r="19" spans="1:12" x14ac:dyDescent="0.25">
      <c r="A19" s="3" t="s">
        <v>213</v>
      </c>
      <c r="B19" s="3" t="s">
        <v>33</v>
      </c>
      <c r="C19" s="3" t="s">
        <v>229</v>
      </c>
      <c r="D19" s="3" t="s">
        <v>230</v>
      </c>
      <c r="E19" s="3" t="s">
        <v>165</v>
      </c>
      <c r="F19" s="28">
        <v>1300000</v>
      </c>
      <c r="G19" s="18">
        <v>1500</v>
      </c>
      <c r="H19" s="38"/>
      <c r="I19" s="38"/>
      <c r="J19" s="38"/>
      <c r="K19" s="38"/>
      <c r="L19" s="13"/>
    </row>
    <row r="20" spans="1:12" x14ac:dyDescent="0.25">
      <c r="A20" s="3" t="s">
        <v>214</v>
      </c>
      <c r="B20" s="57" t="s">
        <v>90</v>
      </c>
      <c r="C20" s="3" t="s">
        <v>231</v>
      </c>
      <c r="D20" s="3" t="s">
        <v>232</v>
      </c>
      <c r="E20" s="3" t="s">
        <v>235</v>
      </c>
      <c r="F20" s="55">
        <v>300000</v>
      </c>
      <c r="G20" s="18">
        <v>199.6</v>
      </c>
      <c r="H20" s="38"/>
      <c r="I20" s="38"/>
      <c r="J20" s="38"/>
      <c r="K20" s="38"/>
      <c r="L20" s="13"/>
    </row>
    <row r="21" spans="1:12" x14ac:dyDescent="0.25">
      <c r="A21" s="3"/>
      <c r="B21" s="6"/>
      <c r="C21" s="2"/>
      <c r="D21" s="10"/>
      <c r="E21" s="10"/>
      <c r="F21" s="21"/>
      <c r="G21" s="18"/>
      <c r="H21" s="38"/>
      <c r="I21" s="38"/>
      <c r="J21" s="38"/>
      <c r="K21" s="38"/>
      <c r="L21" s="13"/>
    </row>
    <row r="22" spans="1:12" ht="15.75" thickBot="1" x14ac:dyDescent="0.3">
      <c r="A22" s="34"/>
      <c r="B22" s="7"/>
      <c r="C22" s="5"/>
      <c r="D22" s="11"/>
      <c r="E22" s="11"/>
      <c r="F22" s="20"/>
      <c r="G22" s="19"/>
      <c r="H22" s="38"/>
      <c r="I22" s="38"/>
      <c r="J22" s="38"/>
      <c r="K22" s="38"/>
      <c r="L22" s="13"/>
    </row>
    <row r="23" spans="1:12" ht="15.75" thickBot="1" x14ac:dyDescent="0.3">
      <c r="A23" s="1"/>
      <c r="D23" s="32" t="s">
        <v>57</v>
      </c>
      <c r="E23" s="26"/>
      <c r="F23" s="33">
        <f>SUM(F7:F22)</f>
        <v>22292481.200000003</v>
      </c>
      <c r="G23" s="27">
        <f>SUM(G7:G22)</f>
        <v>53037.2</v>
      </c>
      <c r="H23" s="39"/>
      <c r="I23" s="39"/>
      <c r="J23" s="39"/>
      <c r="K23" s="39"/>
      <c r="L23" s="14"/>
    </row>
    <row r="24" spans="1:12" x14ac:dyDescent="0.25">
      <c r="A24" s="1"/>
    </row>
  </sheetData>
  <autoFilter ref="A6:L20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2D9A-B8C2-4BC6-8525-C722F9B544B2}">
  <dimension ref="A1:L35"/>
  <sheetViews>
    <sheetView topLeftCell="A6"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30.140625" bestFit="1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45809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15.75" customHeight="1" x14ac:dyDescent="0.25">
      <c r="A8" s="3" t="s">
        <v>237</v>
      </c>
      <c r="B8" s="3" t="s">
        <v>37</v>
      </c>
      <c r="C8" s="3" t="s">
        <v>263</v>
      </c>
      <c r="D8" s="3" t="s">
        <v>264</v>
      </c>
      <c r="E8" s="3" t="s">
        <v>301</v>
      </c>
      <c r="F8" s="55">
        <v>1579982.5</v>
      </c>
      <c r="G8" s="17">
        <v>178</v>
      </c>
      <c r="H8" s="36"/>
      <c r="I8" s="36"/>
      <c r="J8" s="36"/>
      <c r="K8" s="36"/>
      <c r="L8" s="12"/>
    </row>
    <row r="9" spans="1:12" x14ac:dyDescent="0.25">
      <c r="A9" s="3" t="s">
        <v>238</v>
      </c>
      <c r="B9" s="3" t="s">
        <v>35</v>
      </c>
      <c r="C9" s="3" t="s">
        <v>265</v>
      </c>
      <c r="D9" s="3" t="s">
        <v>219</v>
      </c>
      <c r="E9" s="3" t="s">
        <v>159</v>
      </c>
      <c r="F9" s="55">
        <v>5000000</v>
      </c>
      <c r="G9" s="17">
        <v>634</v>
      </c>
      <c r="H9" s="36"/>
      <c r="I9" s="36"/>
      <c r="J9" s="36"/>
      <c r="K9" s="36"/>
      <c r="L9" s="12"/>
    </row>
    <row r="10" spans="1:12" x14ac:dyDescent="0.25">
      <c r="A10" s="3" t="s">
        <v>239</v>
      </c>
      <c r="B10" s="3" t="s">
        <v>33</v>
      </c>
      <c r="C10" s="3" t="s">
        <v>266</v>
      </c>
      <c r="D10" s="3" t="s">
        <v>267</v>
      </c>
      <c r="E10" s="3" t="s">
        <v>154</v>
      </c>
      <c r="F10" s="28">
        <v>1300000</v>
      </c>
      <c r="G10" s="17">
        <v>4990</v>
      </c>
      <c r="H10" s="36"/>
      <c r="I10" s="36"/>
      <c r="J10" s="36"/>
      <c r="K10" s="36"/>
      <c r="L10" s="12"/>
    </row>
    <row r="11" spans="1:12" x14ac:dyDescent="0.25">
      <c r="A11" s="3" t="s">
        <v>240</v>
      </c>
      <c r="B11" s="4" t="s">
        <v>262</v>
      </c>
      <c r="C11" s="4" t="s">
        <v>268</v>
      </c>
      <c r="D11" s="4" t="s">
        <v>269</v>
      </c>
      <c r="E11" s="4" t="s">
        <v>154</v>
      </c>
      <c r="F11" s="56">
        <v>100000</v>
      </c>
      <c r="G11" s="17">
        <v>520</v>
      </c>
      <c r="H11" s="36"/>
      <c r="I11" s="36"/>
      <c r="J11" s="36"/>
      <c r="K11" s="36"/>
      <c r="L11" s="12"/>
    </row>
    <row r="12" spans="1:12" x14ac:dyDescent="0.25">
      <c r="A12" s="3" t="s">
        <v>241</v>
      </c>
      <c r="B12" s="3" t="s">
        <v>33</v>
      </c>
      <c r="C12" s="3" t="s">
        <v>270</v>
      </c>
      <c r="D12" s="3" t="s">
        <v>271</v>
      </c>
      <c r="E12" s="4" t="s">
        <v>154</v>
      </c>
      <c r="F12" s="28">
        <v>1000000</v>
      </c>
      <c r="G12" s="17">
        <v>506</v>
      </c>
      <c r="H12" s="36"/>
      <c r="I12" s="36"/>
      <c r="J12" s="36"/>
      <c r="K12" s="36"/>
      <c r="L12" s="12"/>
    </row>
    <row r="13" spans="1:12" x14ac:dyDescent="0.25">
      <c r="A13" s="3" t="s">
        <v>242</v>
      </c>
      <c r="B13" s="3" t="s">
        <v>33</v>
      </c>
      <c r="C13" s="3" t="s">
        <v>272</v>
      </c>
      <c r="D13" s="3" t="s">
        <v>273</v>
      </c>
      <c r="E13" s="4" t="s">
        <v>154</v>
      </c>
      <c r="F13" s="55">
        <v>750000</v>
      </c>
      <c r="G13" s="17">
        <v>831</v>
      </c>
      <c r="H13" s="36"/>
      <c r="I13" s="36"/>
      <c r="J13" s="36"/>
      <c r="K13" s="36"/>
      <c r="L13" s="12"/>
    </row>
    <row r="14" spans="1:12" x14ac:dyDescent="0.25">
      <c r="A14" s="3" t="s">
        <v>243</v>
      </c>
      <c r="B14" s="3" t="s">
        <v>33</v>
      </c>
      <c r="C14" s="4" t="s">
        <v>266</v>
      </c>
      <c r="D14" s="4" t="s">
        <v>267</v>
      </c>
      <c r="E14" s="4" t="s">
        <v>154</v>
      </c>
      <c r="F14" s="28">
        <v>1300000</v>
      </c>
      <c r="G14" s="17">
        <v>2080</v>
      </c>
      <c r="H14" s="36"/>
      <c r="I14" s="36"/>
      <c r="J14" s="36"/>
      <c r="K14" s="36"/>
      <c r="L14" s="12"/>
    </row>
    <row r="15" spans="1:12" x14ac:dyDescent="0.25">
      <c r="A15" s="3" t="s">
        <v>244</v>
      </c>
      <c r="B15" s="3" t="s">
        <v>35</v>
      </c>
      <c r="C15" s="3" t="s">
        <v>274</v>
      </c>
      <c r="D15" s="3" t="s">
        <v>275</v>
      </c>
      <c r="E15" s="3" t="s">
        <v>159</v>
      </c>
      <c r="F15" s="55">
        <v>580000</v>
      </c>
      <c r="G15" s="17">
        <v>2098.75</v>
      </c>
      <c r="H15" s="36"/>
      <c r="I15" s="36"/>
      <c r="J15" s="36"/>
      <c r="K15" s="36"/>
      <c r="L15" s="12"/>
    </row>
    <row r="16" spans="1:12" x14ac:dyDescent="0.25">
      <c r="A16" s="3" t="s">
        <v>245</v>
      </c>
      <c r="B16" s="3" t="s">
        <v>35</v>
      </c>
      <c r="C16" s="3" t="s">
        <v>265</v>
      </c>
      <c r="D16" s="3" t="s">
        <v>219</v>
      </c>
      <c r="E16" s="3" t="s">
        <v>159</v>
      </c>
      <c r="F16" s="55">
        <v>5000000</v>
      </c>
      <c r="G16" s="17">
        <v>246</v>
      </c>
      <c r="H16" s="36"/>
      <c r="I16" s="36"/>
      <c r="J16" s="36"/>
      <c r="K16" s="36"/>
      <c r="L16" s="12"/>
    </row>
    <row r="17" spans="1:12" x14ac:dyDescent="0.25">
      <c r="A17" s="3" t="s">
        <v>246</v>
      </c>
      <c r="B17" s="57" t="s">
        <v>33</v>
      </c>
      <c r="C17" s="3" t="s">
        <v>276</v>
      </c>
      <c r="D17" s="4" t="s">
        <v>277</v>
      </c>
      <c r="E17" s="3" t="s">
        <v>305</v>
      </c>
      <c r="F17" s="55">
        <v>0</v>
      </c>
      <c r="G17" s="17">
        <v>300</v>
      </c>
      <c r="H17" s="36"/>
      <c r="I17" s="36"/>
      <c r="J17" s="36"/>
      <c r="K17" s="36"/>
      <c r="L17" s="12"/>
    </row>
    <row r="18" spans="1:12" x14ac:dyDescent="0.25">
      <c r="A18" s="3" t="s">
        <v>247</v>
      </c>
      <c r="B18" s="3" t="s">
        <v>90</v>
      </c>
      <c r="C18" s="3" t="s">
        <v>278</v>
      </c>
      <c r="D18" s="3" t="s">
        <v>279</v>
      </c>
      <c r="E18" s="3" t="s">
        <v>159</v>
      </c>
      <c r="F18" s="28">
        <v>1200000</v>
      </c>
      <c r="G18" s="17">
        <v>80</v>
      </c>
      <c r="H18" s="36"/>
      <c r="I18" s="36"/>
      <c r="J18" s="36"/>
      <c r="K18" s="36"/>
      <c r="L18" s="12"/>
    </row>
    <row r="19" spans="1:12" x14ac:dyDescent="0.25">
      <c r="A19" s="3" t="s">
        <v>248</v>
      </c>
      <c r="B19" s="3" t="s">
        <v>33</v>
      </c>
      <c r="C19" s="3" t="s">
        <v>272</v>
      </c>
      <c r="D19" s="3" t="s">
        <v>273</v>
      </c>
      <c r="E19" s="3" t="s">
        <v>154</v>
      </c>
      <c r="F19" s="55">
        <v>750000</v>
      </c>
      <c r="G19" s="17">
        <v>260</v>
      </c>
      <c r="H19" s="36"/>
      <c r="I19" s="36"/>
      <c r="J19" s="36"/>
      <c r="K19" s="36"/>
      <c r="L19" s="12"/>
    </row>
    <row r="20" spans="1:12" x14ac:dyDescent="0.25">
      <c r="A20" s="3" t="s">
        <v>249</v>
      </c>
      <c r="B20" s="57" t="s">
        <v>91</v>
      </c>
      <c r="C20" s="3" t="s">
        <v>280</v>
      </c>
      <c r="D20" s="3" t="s">
        <v>281</v>
      </c>
      <c r="E20" s="3"/>
      <c r="F20" s="55">
        <v>0</v>
      </c>
      <c r="G20" s="17">
        <v>9295.15</v>
      </c>
      <c r="H20" s="36"/>
      <c r="I20" s="36"/>
      <c r="J20" s="36"/>
      <c r="K20" s="36"/>
      <c r="L20" s="12"/>
    </row>
    <row r="21" spans="1:12" x14ac:dyDescent="0.25">
      <c r="A21" s="3" t="s">
        <v>250</v>
      </c>
      <c r="B21" s="57" t="s">
        <v>33</v>
      </c>
      <c r="C21" s="3" t="s">
        <v>266</v>
      </c>
      <c r="D21" s="3" t="s">
        <v>282</v>
      </c>
      <c r="E21" s="3" t="s">
        <v>154</v>
      </c>
      <c r="F21" s="55">
        <v>6000000</v>
      </c>
      <c r="G21" s="17">
        <v>6705</v>
      </c>
      <c r="H21" s="36"/>
      <c r="I21" s="36"/>
      <c r="J21" s="36"/>
      <c r="K21" s="36"/>
      <c r="L21" s="12"/>
    </row>
    <row r="22" spans="1:12" x14ac:dyDescent="0.25">
      <c r="A22" s="3" t="s">
        <v>251</v>
      </c>
      <c r="B22" s="57" t="s">
        <v>33</v>
      </c>
      <c r="C22" s="3" t="s">
        <v>266</v>
      </c>
      <c r="D22" s="3" t="s">
        <v>267</v>
      </c>
      <c r="E22" s="3" t="s">
        <v>154</v>
      </c>
      <c r="F22" s="28">
        <v>1300000</v>
      </c>
      <c r="G22" s="17">
        <v>2600</v>
      </c>
      <c r="H22" s="36"/>
      <c r="I22" s="36"/>
      <c r="J22" s="36"/>
      <c r="K22" s="36"/>
      <c r="L22" s="12"/>
    </row>
    <row r="23" spans="1:12" x14ac:dyDescent="0.25">
      <c r="A23" s="3" t="s">
        <v>252</v>
      </c>
      <c r="B23" s="57" t="s">
        <v>33</v>
      </c>
      <c r="C23" s="3" t="s">
        <v>266</v>
      </c>
      <c r="D23" s="3" t="s">
        <v>283</v>
      </c>
      <c r="E23" s="3" t="s">
        <v>154</v>
      </c>
      <c r="F23" s="55">
        <v>7000000</v>
      </c>
      <c r="G23" s="17">
        <v>2640</v>
      </c>
      <c r="H23" s="36"/>
      <c r="I23" s="36"/>
      <c r="J23" s="36"/>
      <c r="K23" s="36"/>
      <c r="L23" s="12"/>
    </row>
    <row r="24" spans="1:12" x14ac:dyDescent="0.25">
      <c r="A24" s="3" t="s">
        <v>253</v>
      </c>
      <c r="B24" s="57" t="s">
        <v>33</v>
      </c>
      <c r="C24" s="3" t="s">
        <v>266</v>
      </c>
      <c r="D24" s="3" t="s">
        <v>284</v>
      </c>
      <c r="E24" s="3" t="s">
        <v>154</v>
      </c>
      <c r="F24" s="55">
        <v>650000</v>
      </c>
      <c r="G24" s="17">
        <v>170</v>
      </c>
      <c r="H24" s="36"/>
      <c r="I24" s="36"/>
      <c r="J24" s="36"/>
      <c r="K24" s="36"/>
      <c r="L24" s="12"/>
    </row>
    <row r="25" spans="1:12" x14ac:dyDescent="0.25">
      <c r="A25" s="3" t="s">
        <v>254</v>
      </c>
      <c r="B25" s="57" t="s">
        <v>32</v>
      </c>
      <c r="C25" s="3" t="s">
        <v>285</v>
      </c>
      <c r="D25" s="3" t="s">
        <v>286</v>
      </c>
      <c r="E25" s="3" t="s">
        <v>306</v>
      </c>
      <c r="F25" s="56">
        <v>100000</v>
      </c>
      <c r="G25" s="17">
        <v>300</v>
      </c>
      <c r="H25" s="36"/>
      <c r="I25" s="36"/>
      <c r="J25" s="36"/>
      <c r="K25" s="36"/>
      <c r="L25" s="12"/>
    </row>
    <row r="26" spans="1:12" x14ac:dyDescent="0.25">
      <c r="A26" s="3" t="s">
        <v>255</v>
      </c>
      <c r="B26" s="57" t="s">
        <v>115</v>
      </c>
      <c r="C26" s="3" t="s">
        <v>287</v>
      </c>
      <c r="D26" s="3" t="s">
        <v>288</v>
      </c>
      <c r="E26" s="3" t="s">
        <v>154</v>
      </c>
      <c r="F26" s="28">
        <v>1700000</v>
      </c>
      <c r="G26" s="17">
        <v>4914</v>
      </c>
      <c r="H26" s="36"/>
      <c r="I26" s="36"/>
      <c r="J26" s="36"/>
      <c r="K26" s="36"/>
      <c r="L26" s="12"/>
    </row>
    <row r="27" spans="1:12" x14ac:dyDescent="0.25">
      <c r="A27" s="3" t="s">
        <v>256</v>
      </c>
      <c r="B27" s="57" t="s">
        <v>33</v>
      </c>
      <c r="C27" s="3" t="s">
        <v>289</v>
      </c>
      <c r="D27" s="3" t="s">
        <v>290</v>
      </c>
      <c r="E27" s="3" t="s">
        <v>154</v>
      </c>
      <c r="F27" s="55">
        <v>600000</v>
      </c>
      <c r="G27" s="17">
        <v>1265</v>
      </c>
      <c r="H27" s="36"/>
      <c r="I27" s="36"/>
      <c r="J27" s="36"/>
      <c r="K27" s="36"/>
      <c r="L27" s="12"/>
    </row>
    <row r="28" spans="1:12" x14ac:dyDescent="0.25">
      <c r="A28" s="3" t="s">
        <v>257</v>
      </c>
      <c r="B28" s="57" t="s">
        <v>108</v>
      </c>
      <c r="C28" s="3" t="s">
        <v>291</v>
      </c>
      <c r="D28" s="3" t="s">
        <v>292</v>
      </c>
      <c r="E28" s="3" t="s">
        <v>302</v>
      </c>
      <c r="F28" s="55">
        <v>800000</v>
      </c>
      <c r="G28" s="17">
        <v>4005</v>
      </c>
      <c r="H28" s="36"/>
      <c r="I28" s="36"/>
      <c r="J28" s="36"/>
      <c r="K28" s="36"/>
      <c r="L28" s="12"/>
    </row>
    <row r="29" spans="1:12" x14ac:dyDescent="0.25">
      <c r="A29" s="3" t="s">
        <v>258</v>
      </c>
      <c r="B29" s="57" t="s">
        <v>90</v>
      </c>
      <c r="C29" s="3" t="s">
        <v>293</v>
      </c>
      <c r="D29" s="3" t="s">
        <v>294</v>
      </c>
      <c r="E29" s="3" t="s">
        <v>303</v>
      </c>
      <c r="F29" s="28">
        <v>1000000</v>
      </c>
      <c r="G29" s="17">
        <v>1000</v>
      </c>
      <c r="H29" s="36"/>
      <c r="I29" s="36"/>
      <c r="J29" s="36"/>
      <c r="K29" s="36"/>
      <c r="L29" s="12"/>
    </row>
    <row r="30" spans="1:12" x14ac:dyDescent="0.25">
      <c r="A30" s="3" t="s">
        <v>259</v>
      </c>
      <c r="B30" s="3" t="s">
        <v>115</v>
      </c>
      <c r="C30" s="3" t="s">
        <v>295</v>
      </c>
      <c r="D30" s="3" t="s">
        <v>296</v>
      </c>
      <c r="E30" s="3" t="s">
        <v>154</v>
      </c>
      <c r="F30" s="28">
        <v>1200000</v>
      </c>
      <c r="G30" s="17">
        <v>1594.5</v>
      </c>
      <c r="H30" s="37"/>
      <c r="I30" s="37"/>
      <c r="J30" s="37"/>
      <c r="K30" s="37"/>
      <c r="L30" s="13"/>
    </row>
    <row r="31" spans="1:12" x14ac:dyDescent="0.25">
      <c r="A31" s="3" t="s">
        <v>260</v>
      </c>
      <c r="B31" s="3" t="s">
        <v>121</v>
      </c>
      <c r="C31" s="3" t="s">
        <v>297</v>
      </c>
      <c r="D31" s="3" t="s">
        <v>298</v>
      </c>
      <c r="E31" s="3" t="s">
        <v>304</v>
      </c>
      <c r="F31" s="28">
        <v>1200000</v>
      </c>
      <c r="G31" s="17">
        <v>196</v>
      </c>
      <c r="H31" s="37"/>
      <c r="I31" s="37"/>
      <c r="J31" s="37"/>
      <c r="K31" s="37"/>
      <c r="L31" s="13"/>
    </row>
    <row r="32" spans="1:12" x14ac:dyDescent="0.25">
      <c r="A32" s="3" t="s">
        <v>261</v>
      </c>
      <c r="B32" s="62" t="s">
        <v>37</v>
      </c>
      <c r="C32" s="3" t="s">
        <v>299</v>
      </c>
      <c r="D32" s="3" t="s">
        <v>300</v>
      </c>
      <c r="E32" s="3" t="s">
        <v>136</v>
      </c>
      <c r="F32" s="55">
        <v>2056225.6</v>
      </c>
      <c r="G32" s="17">
        <v>8632.5</v>
      </c>
      <c r="H32" s="37"/>
      <c r="I32" s="37"/>
      <c r="J32" s="37"/>
      <c r="K32" s="37"/>
      <c r="L32" s="13"/>
    </row>
    <row r="33" spans="1:12" ht="15.75" thickBot="1" x14ac:dyDescent="0.3">
      <c r="A33" s="34"/>
      <c r="B33" s="7"/>
      <c r="C33" s="5"/>
      <c r="D33" s="11"/>
      <c r="E33" s="11"/>
      <c r="F33" s="20"/>
      <c r="G33" s="19"/>
      <c r="H33" s="38"/>
      <c r="I33" s="38"/>
      <c r="J33" s="38"/>
      <c r="K33" s="38"/>
      <c r="L33" s="13"/>
    </row>
    <row r="34" spans="1:12" ht="15.75" thickBot="1" x14ac:dyDescent="0.3">
      <c r="A34" s="1"/>
      <c r="D34" s="32" t="s">
        <v>57</v>
      </c>
      <c r="E34" s="26"/>
      <c r="F34" s="33">
        <f>SUM(F7:F33)</f>
        <v>42166208.100000001</v>
      </c>
      <c r="G34" s="27">
        <f>SUM(G7:G33)</f>
        <v>56040.9</v>
      </c>
      <c r="H34" s="39"/>
      <c r="I34" s="39"/>
      <c r="J34" s="39"/>
      <c r="K34" s="39"/>
      <c r="L34" s="14"/>
    </row>
    <row r="35" spans="1:12" x14ac:dyDescent="0.25">
      <c r="A35" s="1"/>
    </row>
  </sheetData>
  <autoFilter ref="A6:L32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C246-ACFB-44CC-AE4A-FF68CF21A1CC}">
  <dimension ref="A1:L28"/>
  <sheetViews>
    <sheetView workbookViewId="0">
      <selection activeCell="D17" sqref="D17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30.140625" bestFit="1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45839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2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3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307</v>
      </c>
      <c r="B8" s="4" t="s">
        <v>112</v>
      </c>
      <c r="C8" s="4" t="s">
        <v>83</v>
      </c>
      <c r="D8" s="4" t="s">
        <v>326</v>
      </c>
      <c r="E8" s="67" t="s">
        <v>352</v>
      </c>
      <c r="F8" s="65">
        <v>50000</v>
      </c>
      <c r="G8" s="17">
        <v>1755</v>
      </c>
      <c r="H8" s="36"/>
      <c r="I8" s="36"/>
      <c r="J8" s="36"/>
      <c r="K8" s="36"/>
      <c r="L8" s="12"/>
    </row>
    <row r="9" spans="1:12" x14ac:dyDescent="0.25">
      <c r="A9" s="3" t="s">
        <v>308</v>
      </c>
      <c r="B9" s="3" t="s">
        <v>112</v>
      </c>
      <c r="C9" s="3" t="s">
        <v>327</v>
      </c>
      <c r="D9" s="3" t="s">
        <v>328</v>
      </c>
      <c r="E9" s="4" t="s">
        <v>159</v>
      </c>
      <c r="F9" s="53">
        <v>100000</v>
      </c>
      <c r="G9" s="64">
        <v>180</v>
      </c>
      <c r="H9" s="36"/>
      <c r="I9" s="36"/>
      <c r="J9" s="36"/>
      <c r="K9" s="36"/>
      <c r="L9" s="12"/>
    </row>
    <row r="10" spans="1:12" x14ac:dyDescent="0.25">
      <c r="A10" s="3" t="s">
        <v>309</v>
      </c>
      <c r="B10" s="3" t="s">
        <v>112</v>
      </c>
      <c r="C10" s="3" t="s">
        <v>105</v>
      </c>
      <c r="D10" s="3" t="s">
        <v>329</v>
      </c>
      <c r="E10" s="3" t="s">
        <v>329</v>
      </c>
      <c r="F10" s="53">
        <v>1500000</v>
      </c>
      <c r="G10" s="17">
        <v>180</v>
      </c>
      <c r="H10" s="36"/>
      <c r="I10" s="36"/>
      <c r="J10" s="36"/>
      <c r="K10" s="36"/>
      <c r="L10" s="12"/>
    </row>
    <row r="11" spans="1:12" x14ac:dyDescent="0.25">
      <c r="A11" s="3" t="s">
        <v>310</v>
      </c>
      <c r="B11" s="3" t="s">
        <v>33</v>
      </c>
      <c r="C11" s="4" t="s">
        <v>330</v>
      </c>
      <c r="D11" s="63" t="s">
        <v>331</v>
      </c>
      <c r="E11" s="4" t="s">
        <v>165</v>
      </c>
      <c r="F11" s="65">
        <v>650000</v>
      </c>
      <c r="G11" s="17">
        <v>3924</v>
      </c>
      <c r="H11" s="36"/>
      <c r="I11" s="36"/>
      <c r="J11" s="36"/>
      <c r="K11" s="36"/>
      <c r="L11" s="12"/>
    </row>
    <row r="12" spans="1:12" x14ac:dyDescent="0.25">
      <c r="A12" s="3" t="s">
        <v>311</v>
      </c>
      <c r="B12" s="3" t="s">
        <v>33</v>
      </c>
      <c r="C12" s="3" t="s">
        <v>330</v>
      </c>
      <c r="D12" s="63" t="s">
        <v>331</v>
      </c>
      <c r="E12" s="3" t="s">
        <v>159</v>
      </c>
      <c r="F12" s="65">
        <v>650000</v>
      </c>
      <c r="G12" s="17">
        <v>170</v>
      </c>
      <c r="H12" s="36"/>
      <c r="I12" s="36"/>
      <c r="J12" s="36"/>
      <c r="K12" s="36"/>
      <c r="L12" s="12"/>
    </row>
    <row r="13" spans="1:12" ht="30" x14ac:dyDescent="0.25">
      <c r="A13" s="3" t="s">
        <v>312</v>
      </c>
      <c r="B13" s="3" t="s">
        <v>37</v>
      </c>
      <c r="C13" s="3" t="s">
        <v>332</v>
      </c>
      <c r="D13" s="4" t="s">
        <v>333</v>
      </c>
      <c r="E13" s="3" t="s">
        <v>159</v>
      </c>
      <c r="F13" s="53">
        <v>479118.4</v>
      </c>
      <c r="G13" s="17">
        <v>1337.9</v>
      </c>
      <c r="H13" s="36"/>
      <c r="I13" s="36"/>
      <c r="J13" s="36"/>
      <c r="K13" s="36"/>
      <c r="L13" s="12"/>
    </row>
    <row r="14" spans="1:12" x14ac:dyDescent="0.25">
      <c r="A14" s="3" t="s">
        <v>313</v>
      </c>
      <c r="B14" s="57" t="s">
        <v>116</v>
      </c>
      <c r="C14" s="3" t="s">
        <v>334</v>
      </c>
      <c r="D14" s="4" t="s">
        <v>335</v>
      </c>
      <c r="E14" s="3" t="s">
        <v>353</v>
      </c>
      <c r="F14" s="53">
        <v>167000</v>
      </c>
      <c r="G14" s="17">
        <v>480</v>
      </c>
      <c r="H14" s="36"/>
      <c r="I14" s="36"/>
      <c r="J14" s="36"/>
      <c r="K14" s="36"/>
      <c r="L14" s="12"/>
    </row>
    <row r="15" spans="1:12" ht="30" x14ac:dyDescent="0.25">
      <c r="A15" s="3" t="s">
        <v>314</v>
      </c>
      <c r="B15" s="3" t="s">
        <v>37</v>
      </c>
      <c r="C15" s="3" t="s">
        <v>332</v>
      </c>
      <c r="D15" s="4" t="s">
        <v>333</v>
      </c>
      <c r="E15" s="3" t="s">
        <v>159</v>
      </c>
      <c r="F15" s="53">
        <v>479118.4</v>
      </c>
      <c r="G15" s="17">
        <v>91.5</v>
      </c>
      <c r="H15" s="36"/>
      <c r="I15" s="36"/>
      <c r="J15" s="36"/>
      <c r="K15" s="36"/>
      <c r="L15" s="12"/>
    </row>
    <row r="16" spans="1:12" x14ac:dyDescent="0.25">
      <c r="A16" s="3" t="s">
        <v>315</v>
      </c>
      <c r="B16" s="3" t="s">
        <v>33</v>
      </c>
      <c r="C16" s="3" t="s">
        <v>266</v>
      </c>
      <c r="D16" s="3" t="s">
        <v>189</v>
      </c>
      <c r="E16" s="3" t="s">
        <v>154</v>
      </c>
      <c r="F16" s="53">
        <v>7000000</v>
      </c>
      <c r="G16" s="17">
        <v>1042</v>
      </c>
      <c r="H16" s="36"/>
      <c r="I16" s="36"/>
      <c r="J16" s="36"/>
      <c r="K16" s="36"/>
      <c r="L16" s="12"/>
    </row>
    <row r="17" spans="1:12" x14ac:dyDescent="0.25">
      <c r="A17" s="3" t="s">
        <v>316</v>
      </c>
      <c r="B17" s="57" t="s">
        <v>114</v>
      </c>
      <c r="C17" s="3" t="s">
        <v>336</v>
      </c>
      <c r="D17" s="3" t="s">
        <v>337</v>
      </c>
      <c r="E17" s="3" t="s">
        <v>165</v>
      </c>
      <c r="F17" s="53">
        <v>581000</v>
      </c>
      <c r="G17" s="17">
        <v>33844</v>
      </c>
      <c r="H17" s="36"/>
      <c r="I17" s="36"/>
      <c r="J17" s="36"/>
      <c r="K17" s="36"/>
      <c r="L17" s="12"/>
    </row>
    <row r="18" spans="1:12" x14ac:dyDescent="0.25">
      <c r="A18" s="3" t="s">
        <v>317</v>
      </c>
      <c r="B18" s="57" t="s">
        <v>115</v>
      </c>
      <c r="C18" s="3" t="s">
        <v>338</v>
      </c>
      <c r="D18" s="3" t="s">
        <v>339</v>
      </c>
      <c r="E18" s="3" t="s">
        <v>165</v>
      </c>
      <c r="F18" s="53">
        <v>150000</v>
      </c>
      <c r="G18" s="17">
        <v>991.8</v>
      </c>
      <c r="H18" s="36"/>
      <c r="I18" s="36"/>
      <c r="J18" s="36"/>
      <c r="K18" s="36"/>
      <c r="L18" s="12"/>
    </row>
    <row r="19" spans="1:12" x14ac:dyDescent="0.25">
      <c r="A19" s="3" t="s">
        <v>318</v>
      </c>
      <c r="B19" s="57" t="s">
        <v>91</v>
      </c>
      <c r="C19" s="3" t="s">
        <v>340</v>
      </c>
      <c r="D19" s="3" t="s">
        <v>341</v>
      </c>
      <c r="E19" s="3" t="s">
        <v>353</v>
      </c>
      <c r="F19" s="53">
        <v>160000</v>
      </c>
      <c r="G19" s="17">
        <v>4278.6499999999996</v>
      </c>
      <c r="H19" s="36"/>
      <c r="I19" s="36"/>
      <c r="J19" s="36"/>
      <c r="K19" s="36"/>
      <c r="L19" s="12"/>
    </row>
    <row r="20" spans="1:12" x14ac:dyDescent="0.25">
      <c r="A20" s="3" t="s">
        <v>319</v>
      </c>
      <c r="B20" s="57" t="s">
        <v>33</v>
      </c>
      <c r="C20" s="3" t="s">
        <v>266</v>
      </c>
      <c r="D20" s="3" t="s">
        <v>267</v>
      </c>
      <c r="E20" s="3" t="s">
        <v>154</v>
      </c>
      <c r="F20" s="53">
        <v>1300000</v>
      </c>
      <c r="G20" s="17">
        <v>646</v>
      </c>
      <c r="H20" s="36"/>
      <c r="I20" s="36"/>
      <c r="J20" s="36"/>
      <c r="K20" s="36"/>
      <c r="L20" s="12"/>
    </row>
    <row r="21" spans="1:12" x14ac:dyDescent="0.25">
      <c r="A21" s="3" t="s">
        <v>320</v>
      </c>
      <c r="B21" s="57" t="s">
        <v>37</v>
      </c>
      <c r="C21" s="3" t="s">
        <v>342</v>
      </c>
      <c r="D21" s="3" t="s">
        <v>343</v>
      </c>
      <c r="E21" s="3" t="s">
        <v>354</v>
      </c>
      <c r="F21" s="53">
        <v>1166830.7</v>
      </c>
      <c r="G21" s="17">
        <v>21101.4</v>
      </c>
      <c r="H21" s="36"/>
      <c r="I21" s="36"/>
      <c r="J21" s="36"/>
      <c r="K21" s="36"/>
      <c r="L21" s="12"/>
    </row>
    <row r="22" spans="1:12" x14ac:dyDescent="0.25">
      <c r="A22" s="3" t="s">
        <v>321</v>
      </c>
      <c r="B22" s="57" t="s">
        <v>33</v>
      </c>
      <c r="C22" s="3" t="s">
        <v>344</v>
      </c>
      <c r="D22" s="3" t="s">
        <v>345</v>
      </c>
      <c r="E22" s="3" t="s">
        <v>355</v>
      </c>
      <c r="F22" s="53" t="s">
        <v>19</v>
      </c>
      <c r="G22" s="17">
        <v>480</v>
      </c>
      <c r="H22" s="36"/>
      <c r="I22" s="36"/>
      <c r="J22" s="36"/>
      <c r="K22" s="36"/>
      <c r="L22" s="12"/>
    </row>
    <row r="23" spans="1:12" x14ac:dyDescent="0.25">
      <c r="A23" s="3" t="s">
        <v>322</v>
      </c>
      <c r="B23" s="57" t="s">
        <v>37</v>
      </c>
      <c r="C23" s="3" t="s">
        <v>346</v>
      </c>
      <c r="D23" s="3" t="s">
        <v>347</v>
      </c>
      <c r="E23" s="3" t="s">
        <v>356</v>
      </c>
      <c r="F23" s="53">
        <v>479118.4</v>
      </c>
      <c r="G23" s="17">
        <v>2064.5</v>
      </c>
      <c r="H23" s="36"/>
      <c r="I23" s="36"/>
      <c r="J23" s="36"/>
      <c r="K23" s="36"/>
      <c r="L23" s="12"/>
    </row>
    <row r="24" spans="1:12" x14ac:dyDescent="0.25">
      <c r="A24" s="3" t="s">
        <v>323</v>
      </c>
      <c r="B24" s="57" t="s">
        <v>116</v>
      </c>
      <c r="C24" s="3" t="s">
        <v>348</v>
      </c>
      <c r="D24" s="3" t="s">
        <v>349</v>
      </c>
      <c r="E24" s="3" t="s">
        <v>357</v>
      </c>
      <c r="F24" s="53">
        <v>716000</v>
      </c>
      <c r="G24" s="17">
        <v>1454</v>
      </c>
      <c r="H24" s="36"/>
      <c r="I24" s="36"/>
      <c r="J24" s="36"/>
      <c r="K24" s="36"/>
      <c r="L24" s="12"/>
    </row>
    <row r="25" spans="1:12" x14ac:dyDescent="0.25">
      <c r="A25" s="3"/>
      <c r="B25" s="57"/>
      <c r="C25" s="3"/>
      <c r="D25" s="3"/>
      <c r="E25" s="3"/>
      <c r="F25" s="53"/>
      <c r="G25" s="17"/>
      <c r="H25" s="36"/>
      <c r="I25" s="36"/>
      <c r="J25" s="36"/>
      <c r="K25" s="36"/>
      <c r="L25" s="12"/>
    </row>
    <row r="26" spans="1:12" ht="15.75" thickBot="1" x14ac:dyDescent="0.3">
      <c r="A26" s="34"/>
      <c r="B26" s="7"/>
      <c r="C26" s="5"/>
      <c r="D26" s="11"/>
      <c r="E26" s="2"/>
      <c r="F26" s="54"/>
      <c r="G26" s="19"/>
      <c r="H26" s="38"/>
      <c r="I26" s="38"/>
      <c r="J26" s="38"/>
      <c r="K26" s="38"/>
      <c r="L26" s="13"/>
    </row>
    <row r="27" spans="1:12" ht="15.75" thickBot="1" x14ac:dyDescent="0.3">
      <c r="A27" s="1"/>
      <c r="D27" s="32" t="s">
        <v>57</v>
      </c>
      <c r="E27" s="26"/>
      <c r="F27" s="33">
        <f>SUM(F7:F26)</f>
        <v>15628185.9</v>
      </c>
      <c r="G27" s="27">
        <f>SUM(G7:G26)</f>
        <v>74020.75</v>
      </c>
      <c r="H27" s="39"/>
      <c r="I27" s="39"/>
      <c r="J27" s="39"/>
      <c r="K27" s="39"/>
      <c r="L27" s="14"/>
    </row>
    <row r="28" spans="1:12" x14ac:dyDescent="0.25">
      <c r="A28" s="1"/>
    </row>
  </sheetData>
  <autoFilter ref="A6:L25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hyperlinks>
    <hyperlink ref="D11" r:id="rId1" xr:uid="{1B50D207-72EE-4C83-BCA2-AF90770F03B5}"/>
    <hyperlink ref="D12" r:id="rId2" xr:uid="{EA9D8B78-E7CA-45A4-9BC3-6837BA94EE53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B54B-A794-41CB-898F-F6F0453955C9}">
  <dimension ref="A1:L41"/>
  <sheetViews>
    <sheetView topLeftCell="A2" zoomScale="85" zoomScaleNormal="85" workbookViewId="0">
      <selection activeCell="A3" sqref="A3:L3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30.140625" bestFit="1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45870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324</v>
      </c>
      <c r="B8" s="57" t="s">
        <v>113</v>
      </c>
      <c r="C8" s="3" t="s">
        <v>350</v>
      </c>
      <c r="D8" s="3" t="s">
        <v>351</v>
      </c>
      <c r="E8" s="3" t="s">
        <v>154</v>
      </c>
      <c r="F8" s="55">
        <v>0</v>
      </c>
      <c r="G8" s="17">
        <v>3658.5</v>
      </c>
      <c r="H8" s="36"/>
      <c r="I8" s="36"/>
      <c r="J8" s="36"/>
      <c r="K8" s="36"/>
      <c r="L8" s="12"/>
    </row>
    <row r="9" spans="1:12" x14ac:dyDescent="0.25">
      <c r="A9" s="3" t="s">
        <v>325</v>
      </c>
      <c r="B9" s="57" t="s">
        <v>112</v>
      </c>
      <c r="C9" s="3" t="s">
        <v>119</v>
      </c>
      <c r="D9" s="3" t="s">
        <v>136</v>
      </c>
      <c r="E9" s="3" t="s">
        <v>358</v>
      </c>
      <c r="F9" s="55">
        <v>400000</v>
      </c>
      <c r="G9" s="17">
        <v>656</v>
      </c>
      <c r="H9" s="36"/>
      <c r="I9" s="36"/>
      <c r="J9" s="36"/>
      <c r="K9" s="36"/>
      <c r="L9" s="12"/>
    </row>
    <row r="10" spans="1:12" x14ac:dyDescent="0.25">
      <c r="A10" s="3" t="s">
        <v>359</v>
      </c>
      <c r="B10" s="3" t="s">
        <v>112</v>
      </c>
      <c r="C10" s="3" t="s">
        <v>291</v>
      </c>
      <c r="D10" s="3" t="s">
        <v>363</v>
      </c>
      <c r="E10" s="3" t="s">
        <v>302</v>
      </c>
      <c r="F10" s="55">
        <v>800000</v>
      </c>
      <c r="G10" s="17">
        <v>1770</v>
      </c>
      <c r="H10" s="36"/>
      <c r="I10" s="36"/>
      <c r="J10" s="36"/>
      <c r="K10" s="36"/>
      <c r="L10" s="12"/>
    </row>
    <row r="11" spans="1:12" x14ac:dyDescent="0.25">
      <c r="A11" s="3" t="s">
        <v>360</v>
      </c>
      <c r="B11" s="3" t="s">
        <v>33</v>
      </c>
      <c r="C11" s="4" t="s">
        <v>266</v>
      </c>
      <c r="D11" s="66" t="s">
        <v>135</v>
      </c>
      <c r="E11" s="4" t="s">
        <v>154</v>
      </c>
      <c r="F11" s="53">
        <v>7000000</v>
      </c>
      <c r="G11" s="17">
        <v>455</v>
      </c>
      <c r="H11" s="36"/>
      <c r="I11" s="36"/>
      <c r="J11" s="36"/>
      <c r="K11" s="36"/>
      <c r="L11" s="12"/>
    </row>
    <row r="12" spans="1:12" x14ac:dyDescent="0.25">
      <c r="A12" s="3" t="s">
        <v>361</v>
      </c>
      <c r="B12" s="3" t="s">
        <v>33</v>
      </c>
      <c r="C12" s="4" t="s">
        <v>266</v>
      </c>
      <c r="D12" s="3" t="s">
        <v>267</v>
      </c>
      <c r="E12" s="3" t="s">
        <v>154</v>
      </c>
      <c r="F12" s="53">
        <v>1300000</v>
      </c>
      <c r="G12" s="17">
        <v>130</v>
      </c>
      <c r="H12" s="36"/>
      <c r="I12" s="36"/>
      <c r="J12" s="36"/>
      <c r="K12" s="36"/>
      <c r="L12" s="12"/>
    </row>
    <row r="13" spans="1:12" x14ac:dyDescent="0.25">
      <c r="A13" s="3" t="s">
        <v>362</v>
      </c>
      <c r="B13" s="3" t="s">
        <v>33</v>
      </c>
      <c r="C13" s="3" t="s">
        <v>270</v>
      </c>
      <c r="D13" s="3" t="s">
        <v>364</v>
      </c>
      <c r="E13" s="3" t="s">
        <v>154</v>
      </c>
      <c r="F13" s="53">
        <v>1000000</v>
      </c>
      <c r="G13" s="17">
        <v>145</v>
      </c>
      <c r="H13" s="36"/>
      <c r="I13" s="36"/>
      <c r="J13" s="36"/>
      <c r="K13" s="36"/>
      <c r="L13" s="12"/>
    </row>
    <row r="14" spans="1:12" x14ac:dyDescent="0.25">
      <c r="A14" s="3" t="s">
        <v>365</v>
      </c>
      <c r="B14" s="57" t="s">
        <v>33</v>
      </c>
      <c r="C14" s="3" t="s">
        <v>266</v>
      </c>
      <c r="D14" s="3" t="s">
        <v>267</v>
      </c>
      <c r="E14" s="3" t="s">
        <v>154</v>
      </c>
      <c r="F14" s="53">
        <v>1300000</v>
      </c>
      <c r="G14" s="17">
        <v>320</v>
      </c>
      <c r="H14" s="36"/>
      <c r="I14" s="36"/>
      <c r="J14" s="36"/>
      <c r="K14" s="36"/>
      <c r="L14" s="12"/>
    </row>
    <row r="15" spans="1:12" x14ac:dyDescent="0.25">
      <c r="A15" s="3" t="s">
        <v>366</v>
      </c>
      <c r="B15" s="3" t="s">
        <v>33</v>
      </c>
      <c r="C15" s="3" t="s">
        <v>270</v>
      </c>
      <c r="D15" s="3" t="s">
        <v>391</v>
      </c>
      <c r="E15" s="3" t="s">
        <v>154</v>
      </c>
      <c r="F15" s="55">
        <v>500000</v>
      </c>
      <c r="G15" s="17">
        <v>2285.5</v>
      </c>
      <c r="H15" s="36"/>
      <c r="I15" s="36"/>
      <c r="J15" s="36"/>
      <c r="K15" s="36"/>
      <c r="L15" s="12"/>
    </row>
    <row r="16" spans="1:12" x14ac:dyDescent="0.25">
      <c r="A16" s="3" t="s">
        <v>367</v>
      </c>
      <c r="B16" s="3" t="s">
        <v>114</v>
      </c>
      <c r="C16" s="3" t="s">
        <v>392</v>
      </c>
      <c r="D16" s="3" t="s">
        <v>393</v>
      </c>
      <c r="E16" s="3" t="s">
        <v>423</v>
      </c>
      <c r="F16" s="53">
        <v>2000000</v>
      </c>
      <c r="G16" s="17">
        <v>582</v>
      </c>
      <c r="H16" s="36"/>
      <c r="I16" s="36"/>
      <c r="J16" s="36"/>
      <c r="K16" s="36"/>
      <c r="L16" s="12"/>
    </row>
    <row r="17" spans="1:12" x14ac:dyDescent="0.25">
      <c r="A17" s="3" t="s">
        <v>368</v>
      </c>
      <c r="B17" s="57" t="s">
        <v>33</v>
      </c>
      <c r="C17" s="3" t="s">
        <v>394</v>
      </c>
      <c r="D17" s="3" t="s">
        <v>135</v>
      </c>
      <c r="E17" s="3" t="s">
        <v>424</v>
      </c>
      <c r="F17" s="53">
        <v>7000000</v>
      </c>
      <c r="G17" s="17">
        <v>458</v>
      </c>
      <c r="H17" s="36"/>
      <c r="I17" s="36"/>
      <c r="J17" s="36"/>
      <c r="K17" s="36"/>
      <c r="L17" s="12"/>
    </row>
    <row r="18" spans="1:12" x14ac:dyDescent="0.25">
      <c r="A18" s="3" t="s">
        <v>369</v>
      </c>
      <c r="B18" s="57" t="s">
        <v>114</v>
      </c>
      <c r="C18" s="3" t="s">
        <v>395</v>
      </c>
      <c r="D18" s="3" t="s">
        <v>396</v>
      </c>
      <c r="E18" s="3" t="s">
        <v>425</v>
      </c>
      <c r="F18" s="53">
        <v>1500000</v>
      </c>
      <c r="G18" s="55">
        <v>500</v>
      </c>
      <c r="H18" s="36"/>
      <c r="I18" s="36"/>
      <c r="J18" s="36"/>
      <c r="K18" s="36"/>
      <c r="L18" s="12"/>
    </row>
    <row r="19" spans="1:12" x14ac:dyDescent="0.25">
      <c r="A19" s="3" t="s">
        <v>370</v>
      </c>
      <c r="B19" s="57" t="s">
        <v>114</v>
      </c>
      <c r="C19" s="3" t="s">
        <v>392</v>
      </c>
      <c r="D19" s="3" t="s">
        <v>393</v>
      </c>
      <c r="E19" s="3" t="s">
        <v>423</v>
      </c>
      <c r="F19" s="53">
        <v>2000000</v>
      </c>
      <c r="G19" s="55">
        <v>3695</v>
      </c>
      <c r="H19" s="36"/>
      <c r="I19" s="36"/>
      <c r="J19" s="36"/>
      <c r="K19" s="36"/>
      <c r="L19" s="12"/>
    </row>
    <row r="20" spans="1:12" x14ac:dyDescent="0.25">
      <c r="A20" s="3" t="s">
        <v>371</v>
      </c>
      <c r="B20" s="57" t="s">
        <v>112</v>
      </c>
      <c r="C20" s="3" t="s">
        <v>291</v>
      </c>
      <c r="D20" s="3" t="s">
        <v>363</v>
      </c>
      <c r="E20" s="3" t="s">
        <v>302</v>
      </c>
      <c r="F20" s="55">
        <v>800000</v>
      </c>
      <c r="G20" s="55">
        <v>585</v>
      </c>
      <c r="H20" s="36"/>
      <c r="I20" s="36"/>
      <c r="J20" s="36"/>
      <c r="K20" s="36"/>
      <c r="L20" s="12"/>
    </row>
    <row r="21" spans="1:12" x14ac:dyDescent="0.25">
      <c r="A21" s="3" t="s">
        <v>372</v>
      </c>
      <c r="B21" s="57" t="s">
        <v>113</v>
      </c>
      <c r="C21" s="3" t="s">
        <v>350</v>
      </c>
      <c r="D21" s="3" t="s">
        <v>397</v>
      </c>
      <c r="E21" s="3" t="s">
        <v>154</v>
      </c>
      <c r="F21" s="55">
        <v>0</v>
      </c>
      <c r="G21" s="55">
        <v>600</v>
      </c>
      <c r="H21" s="36"/>
      <c r="I21" s="36"/>
      <c r="J21" s="36"/>
      <c r="K21" s="36"/>
      <c r="L21" s="12"/>
    </row>
    <row r="22" spans="1:12" x14ac:dyDescent="0.25">
      <c r="A22" s="3" t="s">
        <v>373</v>
      </c>
      <c r="B22" s="57" t="s">
        <v>33</v>
      </c>
      <c r="C22" s="3" t="s">
        <v>398</v>
      </c>
      <c r="D22" s="3" t="s">
        <v>399</v>
      </c>
      <c r="E22" s="3" t="s">
        <v>136</v>
      </c>
      <c r="F22" s="55">
        <v>160000</v>
      </c>
      <c r="G22" s="55">
        <v>200</v>
      </c>
      <c r="H22" s="36"/>
      <c r="I22" s="36"/>
      <c r="J22" s="36"/>
      <c r="K22" s="36"/>
      <c r="L22" s="12"/>
    </row>
    <row r="23" spans="1:12" x14ac:dyDescent="0.25">
      <c r="A23" s="3" t="s">
        <v>374</v>
      </c>
      <c r="B23" s="57" t="s">
        <v>33</v>
      </c>
      <c r="C23" s="3" t="s">
        <v>266</v>
      </c>
      <c r="D23" s="3" t="s">
        <v>400</v>
      </c>
      <c r="E23" s="3" t="s">
        <v>154</v>
      </c>
      <c r="F23" s="55">
        <v>600000</v>
      </c>
      <c r="G23" s="55">
        <v>160</v>
      </c>
      <c r="H23" s="36"/>
      <c r="I23" s="36"/>
      <c r="J23" s="36"/>
      <c r="K23" s="36"/>
      <c r="L23" s="12"/>
    </row>
    <row r="24" spans="1:12" x14ac:dyDescent="0.25">
      <c r="A24" s="3" t="s">
        <v>375</v>
      </c>
      <c r="B24" s="57" t="s">
        <v>114</v>
      </c>
      <c r="C24" s="3" t="s">
        <v>392</v>
      </c>
      <c r="D24" s="3" t="s">
        <v>393</v>
      </c>
      <c r="E24" s="3" t="s">
        <v>136</v>
      </c>
      <c r="F24" s="53">
        <v>2000000</v>
      </c>
      <c r="G24" s="55">
        <v>54</v>
      </c>
      <c r="H24" s="36"/>
      <c r="I24" s="36"/>
      <c r="J24" s="36"/>
      <c r="K24" s="36"/>
      <c r="L24" s="12"/>
    </row>
    <row r="25" spans="1:12" x14ac:dyDescent="0.25">
      <c r="A25" s="3" t="s">
        <v>376</v>
      </c>
      <c r="B25" s="57" t="s">
        <v>90</v>
      </c>
      <c r="C25" s="3" t="s">
        <v>401</v>
      </c>
      <c r="D25" s="3" t="s">
        <v>402</v>
      </c>
      <c r="E25" s="3" t="s">
        <v>165</v>
      </c>
      <c r="F25" s="53">
        <v>2800000</v>
      </c>
      <c r="G25" s="55">
        <v>5169</v>
      </c>
      <c r="H25" s="36"/>
      <c r="I25" s="36"/>
      <c r="J25" s="36"/>
      <c r="K25" s="36"/>
      <c r="L25" s="12"/>
    </row>
    <row r="26" spans="1:12" x14ac:dyDescent="0.25">
      <c r="A26" s="3" t="s">
        <v>377</v>
      </c>
      <c r="B26" s="57" t="s">
        <v>33</v>
      </c>
      <c r="C26" s="3" t="s">
        <v>266</v>
      </c>
      <c r="D26" s="3" t="s">
        <v>403</v>
      </c>
      <c r="E26" s="3" t="s">
        <v>165</v>
      </c>
      <c r="F26" s="55">
        <v>800000</v>
      </c>
      <c r="G26" s="55">
        <v>2248</v>
      </c>
      <c r="H26" s="36"/>
      <c r="I26" s="36"/>
      <c r="J26" s="36"/>
      <c r="K26" s="36"/>
      <c r="L26" s="12"/>
    </row>
    <row r="27" spans="1:12" x14ac:dyDescent="0.25">
      <c r="A27" s="3" t="s">
        <v>378</v>
      </c>
      <c r="B27" s="57" t="s">
        <v>112</v>
      </c>
      <c r="C27" s="3" t="s">
        <v>404</v>
      </c>
      <c r="D27" s="3" t="s">
        <v>405</v>
      </c>
      <c r="E27" s="3" t="s">
        <v>136</v>
      </c>
      <c r="F27" s="53">
        <v>1500000</v>
      </c>
      <c r="G27" s="55">
        <v>543</v>
      </c>
      <c r="H27" s="36"/>
      <c r="I27" s="36"/>
      <c r="J27" s="36"/>
      <c r="K27" s="36"/>
      <c r="L27" s="12"/>
    </row>
    <row r="28" spans="1:12" x14ac:dyDescent="0.25">
      <c r="A28" s="3" t="s">
        <v>379</v>
      </c>
      <c r="B28" s="57" t="s">
        <v>115</v>
      </c>
      <c r="C28" s="3" t="s">
        <v>406</v>
      </c>
      <c r="D28" s="3" t="s">
        <v>407</v>
      </c>
      <c r="E28" s="3" t="s">
        <v>165</v>
      </c>
      <c r="F28" s="55">
        <v>221000</v>
      </c>
      <c r="G28" s="55">
        <v>3696.8</v>
      </c>
      <c r="H28" s="36"/>
      <c r="I28" s="36"/>
      <c r="J28" s="36"/>
      <c r="K28" s="36"/>
      <c r="L28" s="12"/>
    </row>
    <row r="29" spans="1:12" x14ac:dyDescent="0.25">
      <c r="A29" s="3" t="s">
        <v>380</v>
      </c>
      <c r="B29" s="57" t="s">
        <v>112</v>
      </c>
      <c r="C29" s="3" t="s">
        <v>408</v>
      </c>
      <c r="D29" s="3" t="s">
        <v>409</v>
      </c>
      <c r="E29" s="3" t="s">
        <v>136</v>
      </c>
      <c r="F29" s="55">
        <v>600000</v>
      </c>
      <c r="G29" s="55">
        <v>2250</v>
      </c>
      <c r="H29" s="36"/>
      <c r="I29" s="36"/>
      <c r="J29" s="36"/>
      <c r="K29" s="36"/>
      <c r="L29" s="12"/>
    </row>
    <row r="30" spans="1:12" x14ac:dyDescent="0.25">
      <c r="A30" s="3" t="s">
        <v>381</v>
      </c>
      <c r="B30" s="57" t="s">
        <v>114</v>
      </c>
      <c r="C30" s="3" t="s">
        <v>410</v>
      </c>
      <c r="D30" s="3" t="s">
        <v>411</v>
      </c>
      <c r="E30" s="3" t="s">
        <v>426</v>
      </c>
      <c r="F30" s="55">
        <v>194795.1</v>
      </c>
      <c r="G30" s="55">
        <v>1030.0999999999999</v>
      </c>
      <c r="H30" s="36"/>
      <c r="I30" s="36"/>
      <c r="J30" s="36"/>
      <c r="K30" s="36"/>
      <c r="L30" s="12"/>
    </row>
    <row r="31" spans="1:12" x14ac:dyDescent="0.25">
      <c r="A31" s="3" t="s">
        <v>382</v>
      </c>
      <c r="B31" s="57" t="s">
        <v>114</v>
      </c>
      <c r="C31" s="3" t="s">
        <v>392</v>
      </c>
      <c r="D31" s="3" t="s">
        <v>393</v>
      </c>
      <c r="E31" s="3" t="s">
        <v>427</v>
      </c>
      <c r="F31" s="53">
        <v>2000000</v>
      </c>
      <c r="G31" s="55">
        <v>56</v>
      </c>
      <c r="H31" s="36"/>
      <c r="I31" s="36"/>
      <c r="J31" s="36"/>
      <c r="K31" s="36"/>
      <c r="L31" s="12"/>
    </row>
    <row r="32" spans="1:12" x14ac:dyDescent="0.25">
      <c r="A32" s="3" t="s">
        <v>383</v>
      </c>
      <c r="B32" s="57" t="s">
        <v>33</v>
      </c>
      <c r="C32" s="3" t="s">
        <v>412</v>
      </c>
      <c r="D32" s="3" t="s">
        <v>413</v>
      </c>
      <c r="E32" s="3" t="s">
        <v>154</v>
      </c>
      <c r="F32" s="55">
        <v>500000</v>
      </c>
      <c r="G32" s="55">
        <v>510</v>
      </c>
      <c r="H32" s="36"/>
      <c r="I32" s="36"/>
      <c r="J32" s="36"/>
      <c r="K32" s="36"/>
      <c r="L32" s="12"/>
    </row>
    <row r="33" spans="1:12" x14ac:dyDescent="0.25">
      <c r="A33" s="3"/>
      <c r="B33" s="57"/>
      <c r="C33" s="3"/>
      <c r="D33" s="3"/>
      <c r="E33" s="3"/>
      <c r="F33" s="55"/>
      <c r="G33" s="17"/>
      <c r="H33" s="36"/>
      <c r="I33" s="36"/>
      <c r="J33" s="36"/>
      <c r="K33" s="36"/>
      <c r="L33" s="12"/>
    </row>
    <row r="34" spans="1:12" ht="15.75" thickBot="1" x14ac:dyDescent="0.3">
      <c r="A34" s="34"/>
      <c r="B34" s="7"/>
      <c r="C34" s="5"/>
      <c r="D34" s="11"/>
      <c r="E34" s="11"/>
      <c r="F34" s="20"/>
      <c r="G34" s="19"/>
      <c r="H34" s="38"/>
      <c r="I34" s="38"/>
      <c r="J34" s="38"/>
      <c r="K34" s="38"/>
      <c r="L34" s="13"/>
    </row>
    <row r="35" spans="1:12" ht="15.75" thickBot="1" x14ac:dyDescent="0.3">
      <c r="A35" s="1"/>
      <c r="D35" s="32" t="s">
        <v>57</v>
      </c>
      <c r="E35" s="26"/>
      <c r="F35" s="33">
        <f>SUM(F7:F34)</f>
        <v>36975795.100000001</v>
      </c>
      <c r="G35" s="27">
        <f>SUM(G7:G34)</f>
        <v>31756.899999999998</v>
      </c>
      <c r="H35" s="39"/>
      <c r="I35" s="39"/>
      <c r="J35" s="39"/>
      <c r="K35" s="39"/>
      <c r="L35" s="14"/>
    </row>
    <row r="36" spans="1:12" x14ac:dyDescent="0.25">
      <c r="A36" s="1"/>
    </row>
    <row r="41" spans="1:12" x14ac:dyDescent="0.25">
      <c r="E41" t="s">
        <v>457</v>
      </c>
    </row>
  </sheetData>
  <autoFilter ref="A6:L33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F330-FD16-4C8B-B8A5-3D865CE62B7D}">
  <dimension ref="A1:L27"/>
  <sheetViews>
    <sheetView workbookViewId="0">
      <selection activeCell="K12" sqref="K12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26.5703125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45901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384</v>
      </c>
      <c r="B8" s="57" t="s">
        <v>33</v>
      </c>
      <c r="C8" s="3" t="s">
        <v>414</v>
      </c>
      <c r="D8" s="3" t="s">
        <v>415</v>
      </c>
      <c r="E8" s="3" t="s">
        <v>154</v>
      </c>
      <c r="F8" s="55">
        <v>500000</v>
      </c>
      <c r="G8" s="55">
        <v>310</v>
      </c>
      <c r="H8" s="36"/>
      <c r="I8" s="36"/>
      <c r="J8" s="36"/>
      <c r="K8" s="36"/>
      <c r="L8" s="12"/>
    </row>
    <row r="9" spans="1:12" x14ac:dyDescent="0.25">
      <c r="A9" s="3" t="s">
        <v>385</v>
      </c>
      <c r="B9" s="57" t="s">
        <v>108</v>
      </c>
      <c r="C9" s="3" t="s">
        <v>416</v>
      </c>
      <c r="D9" s="3" t="s">
        <v>417</v>
      </c>
      <c r="E9" s="3" t="s">
        <v>165</v>
      </c>
      <c r="F9" s="53">
        <v>450000</v>
      </c>
      <c r="G9" s="55">
        <v>2236</v>
      </c>
      <c r="H9" s="36"/>
      <c r="I9" s="36"/>
      <c r="J9" s="36"/>
      <c r="K9" s="36"/>
      <c r="L9" s="12"/>
    </row>
    <row r="10" spans="1:12" x14ac:dyDescent="0.25">
      <c r="A10" s="3" t="s">
        <v>386</v>
      </c>
      <c r="B10" s="57" t="s">
        <v>108</v>
      </c>
      <c r="C10" s="3" t="s">
        <v>291</v>
      </c>
      <c r="D10" s="3" t="s">
        <v>458</v>
      </c>
      <c r="E10" s="3" t="s">
        <v>459</v>
      </c>
      <c r="F10" s="55">
        <v>800000</v>
      </c>
      <c r="G10" s="55">
        <v>3027</v>
      </c>
      <c r="H10" s="36"/>
      <c r="I10" s="36"/>
      <c r="J10" s="36"/>
      <c r="K10" s="36"/>
      <c r="L10" s="12"/>
    </row>
    <row r="11" spans="1:12" x14ac:dyDescent="0.25">
      <c r="A11" s="3" t="s">
        <v>387</v>
      </c>
      <c r="B11" s="57" t="s">
        <v>108</v>
      </c>
      <c r="C11" s="3" t="s">
        <v>418</v>
      </c>
      <c r="D11" s="3" t="s">
        <v>419</v>
      </c>
      <c r="E11" s="3" t="s">
        <v>428</v>
      </c>
      <c r="F11" s="55">
        <v>500000</v>
      </c>
      <c r="G11" s="55">
        <v>200</v>
      </c>
      <c r="H11" s="36"/>
      <c r="I11" s="36"/>
      <c r="J11" s="36"/>
      <c r="K11" s="36"/>
      <c r="L11" s="12"/>
    </row>
    <row r="12" spans="1:12" x14ac:dyDescent="0.25">
      <c r="A12" s="3" t="s">
        <v>388</v>
      </c>
      <c r="B12" s="57" t="s">
        <v>115</v>
      </c>
      <c r="C12" s="3" t="s">
        <v>406</v>
      </c>
      <c r="D12" s="3" t="s">
        <v>420</v>
      </c>
      <c r="E12" s="3" t="s">
        <v>165</v>
      </c>
      <c r="F12" s="55">
        <v>221000</v>
      </c>
      <c r="G12" s="55">
        <v>456</v>
      </c>
      <c r="H12" s="36"/>
      <c r="I12" s="36"/>
      <c r="J12" s="36"/>
      <c r="K12" s="36"/>
      <c r="L12" s="12"/>
    </row>
    <row r="13" spans="1:12" x14ac:dyDescent="0.25">
      <c r="A13" s="3" t="s">
        <v>389</v>
      </c>
      <c r="B13" s="57" t="s">
        <v>114</v>
      </c>
      <c r="C13" s="3" t="s">
        <v>421</v>
      </c>
      <c r="D13" s="3" t="s">
        <v>422</v>
      </c>
      <c r="E13" s="3" t="s">
        <v>165</v>
      </c>
      <c r="F13" s="55">
        <v>581000</v>
      </c>
      <c r="G13" s="55">
        <v>187</v>
      </c>
      <c r="H13" s="36"/>
      <c r="I13" s="36"/>
      <c r="J13" s="36"/>
      <c r="K13" s="36"/>
      <c r="L13" s="12"/>
    </row>
    <row r="14" spans="1:12" x14ac:dyDescent="0.25">
      <c r="A14" s="3" t="s">
        <v>390</v>
      </c>
      <c r="B14" s="57" t="s">
        <v>90</v>
      </c>
      <c r="C14" s="3" t="s">
        <v>439</v>
      </c>
      <c r="D14" s="3" t="s">
        <v>440</v>
      </c>
      <c r="E14" s="3" t="s">
        <v>165</v>
      </c>
      <c r="F14" s="53">
        <v>1900000</v>
      </c>
      <c r="G14" s="55">
        <v>5718.1</v>
      </c>
      <c r="H14" s="36"/>
      <c r="I14" s="36"/>
      <c r="J14" s="36"/>
      <c r="K14" s="36"/>
      <c r="L14" s="12"/>
    </row>
    <row r="15" spans="1:12" x14ac:dyDescent="0.25">
      <c r="A15" s="3" t="s">
        <v>429</v>
      </c>
      <c r="B15" s="57" t="s">
        <v>33</v>
      </c>
      <c r="C15" s="3" t="s">
        <v>266</v>
      </c>
      <c r="D15" s="3" t="s">
        <v>441</v>
      </c>
      <c r="E15" s="3" t="s">
        <v>154</v>
      </c>
      <c r="F15" s="55">
        <v>600000</v>
      </c>
      <c r="G15" s="55">
        <v>660</v>
      </c>
      <c r="H15" s="36"/>
      <c r="I15" s="36"/>
      <c r="J15" s="36"/>
      <c r="K15" s="36"/>
      <c r="L15" s="12"/>
    </row>
    <row r="16" spans="1:12" x14ac:dyDescent="0.25">
      <c r="A16" s="3" t="s">
        <v>430</v>
      </c>
      <c r="B16" s="57" t="s">
        <v>91</v>
      </c>
      <c r="C16" s="3" t="s">
        <v>442</v>
      </c>
      <c r="D16" s="3" t="s">
        <v>443</v>
      </c>
      <c r="E16" s="3" t="s">
        <v>136</v>
      </c>
      <c r="F16" s="55">
        <v>850000</v>
      </c>
      <c r="G16" s="55">
        <v>100</v>
      </c>
      <c r="H16" s="36"/>
      <c r="I16" s="36"/>
      <c r="J16" s="36"/>
      <c r="K16" s="36"/>
      <c r="L16" s="12"/>
    </row>
    <row r="17" spans="1:12" x14ac:dyDescent="0.25">
      <c r="A17" s="3" t="s">
        <v>431</v>
      </c>
      <c r="B17" s="57" t="s">
        <v>32</v>
      </c>
      <c r="C17" s="3" t="s">
        <v>444</v>
      </c>
      <c r="D17" s="3" t="s">
        <v>445</v>
      </c>
      <c r="E17" s="3" t="s">
        <v>19</v>
      </c>
      <c r="F17" s="53">
        <v>1200000</v>
      </c>
      <c r="G17" s="55">
        <v>5000</v>
      </c>
      <c r="H17" s="36"/>
      <c r="I17" s="36"/>
      <c r="J17" s="36"/>
      <c r="K17" s="36"/>
      <c r="L17" s="12"/>
    </row>
    <row r="18" spans="1:12" x14ac:dyDescent="0.25">
      <c r="A18" s="3" t="s">
        <v>432</v>
      </c>
      <c r="B18" s="57" t="s">
        <v>37</v>
      </c>
      <c r="C18" s="3" t="s">
        <v>446</v>
      </c>
      <c r="D18" s="3" t="s">
        <v>447</v>
      </c>
      <c r="E18" s="3" t="s">
        <v>165</v>
      </c>
      <c r="F18" s="55">
        <v>1839651.21</v>
      </c>
      <c r="G18" s="55">
        <v>8609.02</v>
      </c>
      <c r="H18" s="36"/>
      <c r="I18" s="36"/>
      <c r="J18" s="36"/>
      <c r="K18" s="36"/>
      <c r="L18" s="12"/>
    </row>
    <row r="19" spans="1:12" x14ac:dyDescent="0.25">
      <c r="A19" s="3" t="s">
        <v>433</v>
      </c>
      <c r="B19" s="57" t="s">
        <v>32</v>
      </c>
      <c r="C19" s="3" t="s">
        <v>448</v>
      </c>
      <c r="D19" s="3" t="s">
        <v>449</v>
      </c>
      <c r="E19" s="3" t="s">
        <v>165</v>
      </c>
      <c r="F19" s="55">
        <v>123845</v>
      </c>
      <c r="G19" s="55">
        <v>1073.8</v>
      </c>
      <c r="H19" s="36"/>
      <c r="I19" s="36"/>
      <c r="J19" s="36"/>
      <c r="K19" s="36"/>
      <c r="L19" s="12"/>
    </row>
    <row r="20" spans="1:12" x14ac:dyDescent="0.25">
      <c r="A20" s="3" t="s">
        <v>434</v>
      </c>
      <c r="B20" s="57" t="s">
        <v>32</v>
      </c>
      <c r="C20" s="3" t="s">
        <v>450</v>
      </c>
      <c r="D20" s="3" t="s">
        <v>451</v>
      </c>
      <c r="E20" s="3" t="s">
        <v>154</v>
      </c>
      <c r="F20" s="55">
        <v>37000</v>
      </c>
      <c r="G20" s="55">
        <v>360</v>
      </c>
      <c r="H20" s="36"/>
      <c r="I20" s="36"/>
      <c r="J20" s="36"/>
      <c r="K20" s="36"/>
      <c r="L20" s="12"/>
    </row>
    <row r="21" spans="1:12" x14ac:dyDescent="0.25">
      <c r="A21" s="3" t="s">
        <v>435</v>
      </c>
      <c r="B21" s="57" t="s">
        <v>108</v>
      </c>
      <c r="C21" s="3" t="s">
        <v>416</v>
      </c>
      <c r="D21" s="3" t="s">
        <v>452</v>
      </c>
      <c r="E21" s="3" t="s">
        <v>165</v>
      </c>
      <c r="F21" s="55">
        <v>450000</v>
      </c>
      <c r="G21" s="55">
        <v>2236</v>
      </c>
      <c r="H21" s="36"/>
      <c r="I21" s="36"/>
      <c r="J21" s="36"/>
      <c r="K21" s="36"/>
      <c r="L21" s="12"/>
    </row>
    <row r="22" spans="1:12" x14ac:dyDescent="0.25">
      <c r="A22" s="3" t="s">
        <v>436</v>
      </c>
      <c r="B22" s="57" t="s">
        <v>33</v>
      </c>
      <c r="C22" s="3" t="s">
        <v>453</v>
      </c>
      <c r="D22" s="3" t="s">
        <v>454</v>
      </c>
      <c r="E22" s="3" t="s">
        <v>154</v>
      </c>
      <c r="F22" s="55">
        <v>0</v>
      </c>
      <c r="G22" s="55">
        <v>140</v>
      </c>
      <c r="H22" s="36"/>
      <c r="I22" s="36"/>
      <c r="J22" s="36"/>
      <c r="K22" s="36"/>
      <c r="L22" s="12"/>
    </row>
    <row r="23" spans="1:12" x14ac:dyDescent="0.25">
      <c r="A23" s="3" t="s">
        <v>437</v>
      </c>
      <c r="B23" s="57" t="s">
        <v>33</v>
      </c>
      <c r="C23" s="3" t="s">
        <v>455</v>
      </c>
      <c r="D23" s="3" t="s">
        <v>441</v>
      </c>
      <c r="E23" s="3" t="s">
        <v>154</v>
      </c>
      <c r="F23" s="55">
        <v>600000</v>
      </c>
      <c r="G23" s="55">
        <v>180</v>
      </c>
      <c r="H23" s="36"/>
      <c r="I23" s="36"/>
      <c r="J23" s="36"/>
      <c r="K23" s="36"/>
      <c r="L23" s="12"/>
    </row>
    <row r="24" spans="1:12" ht="30" x14ac:dyDescent="0.25">
      <c r="A24" s="3" t="s">
        <v>438</v>
      </c>
      <c r="B24" s="57" t="s">
        <v>37</v>
      </c>
      <c r="C24" s="3" t="s">
        <v>332</v>
      </c>
      <c r="D24" s="4" t="s">
        <v>456</v>
      </c>
      <c r="E24" s="3" t="s">
        <v>154</v>
      </c>
      <c r="F24" s="55">
        <v>479118.4</v>
      </c>
      <c r="G24" s="55">
        <v>313</v>
      </c>
      <c r="H24" s="36"/>
      <c r="I24" s="36"/>
      <c r="J24" s="36"/>
      <c r="K24" s="36"/>
      <c r="L24" s="12"/>
    </row>
    <row r="25" spans="1:12" ht="15.75" thickBot="1" x14ac:dyDescent="0.3">
      <c r="A25" s="34"/>
      <c r="B25" s="7"/>
      <c r="C25" s="5"/>
      <c r="D25" s="11"/>
      <c r="E25" s="11"/>
      <c r="F25" s="20"/>
      <c r="G25" s="19"/>
      <c r="H25" s="38"/>
      <c r="I25" s="38"/>
      <c r="J25" s="38"/>
      <c r="K25" s="38"/>
      <c r="L25" s="13"/>
    </row>
    <row r="26" spans="1:12" ht="15.75" thickBot="1" x14ac:dyDescent="0.3">
      <c r="A26" s="1"/>
      <c r="D26" s="32" t="s">
        <v>57</v>
      </c>
      <c r="E26" s="26"/>
      <c r="F26" s="33">
        <f>SUM(F7:F25)</f>
        <v>11131614.610000001</v>
      </c>
      <c r="G26" s="27">
        <f>SUM(G7:G25)</f>
        <v>30805.919999999998</v>
      </c>
      <c r="H26" s="39"/>
      <c r="I26" s="39"/>
      <c r="J26" s="39"/>
      <c r="K26" s="39"/>
      <c r="L26" s="14"/>
    </row>
    <row r="27" spans="1:12" x14ac:dyDescent="0.25">
      <c r="A27" s="1"/>
    </row>
  </sheetData>
  <autoFilter ref="A6:L24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DB2F-3FFF-4A5C-ADF7-8C71FCC8A818}">
  <dimension ref="A1:L27"/>
  <sheetViews>
    <sheetView workbookViewId="0">
      <selection activeCell="F28" sqref="F28"/>
    </sheetView>
  </sheetViews>
  <sheetFormatPr defaultRowHeight="15" x14ac:dyDescent="0.25"/>
  <cols>
    <col min="1" max="1" width="13.85546875" customWidth="1"/>
    <col min="2" max="2" width="17.7109375" customWidth="1"/>
    <col min="3" max="3" width="31.5703125" customWidth="1"/>
    <col min="4" max="4" width="37.5703125" customWidth="1"/>
    <col min="5" max="5" width="22" customWidth="1"/>
    <col min="6" max="6" width="20.5703125" customWidth="1"/>
    <col min="7" max="7" width="19.28515625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45931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461</v>
      </c>
      <c r="B8" s="57" t="s">
        <v>112</v>
      </c>
      <c r="C8" s="3" t="s">
        <v>471</v>
      </c>
      <c r="D8" s="3" t="s">
        <v>480</v>
      </c>
      <c r="E8" s="3" t="s">
        <v>488</v>
      </c>
      <c r="F8" s="55">
        <v>500000</v>
      </c>
      <c r="G8" s="55">
        <v>500</v>
      </c>
      <c r="H8" s="36"/>
      <c r="I8" s="36"/>
      <c r="J8" s="36"/>
      <c r="K8" s="36"/>
      <c r="L8" s="12"/>
    </row>
    <row r="9" spans="1:12" x14ac:dyDescent="0.25">
      <c r="A9" s="3" t="s">
        <v>462</v>
      </c>
      <c r="B9" s="2" t="s">
        <v>116</v>
      </c>
      <c r="C9" s="2" t="s">
        <v>472</v>
      </c>
      <c r="D9" s="2" t="s">
        <v>481</v>
      </c>
      <c r="E9" s="2" t="s">
        <v>156</v>
      </c>
      <c r="F9" s="71">
        <v>620000</v>
      </c>
      <c r="G9" s="71">
        <v>9750.7999999999993</v>
      </c>
      <c r="H9" s="36"/>
      <c r="I9" s="36"/>
      <c r="J9" s="36"/>
      <c r="K9" s="36"/>
      <c r="L9" s="12"/>
    </row>
    <row r="10" spans="1:12" x14ac:dyDescent="0.25">
      <c r="A10" s="3" t="s">
        <v>463</v>
      </c>
      <c r="B10" s="57" t="s">
        <v>33</v>
      </c>
      <c r="C10" s="3" t="s">
        <v>473</v>
      </c>
      <c r="D10" s="3" t="s">
        <v>482</v>
      </c>
      <c r="E10" s="3" t="s">
        <v>154</v>
      </c>
      <c r="F10" s="55">
        <v>450000</v>
      </c>
      <c r="G10" s="55">
        <v>1964.5</v>
      </c>
      <c r="H10" s="36"/>
      <c r="I10" s="36"/>
      <c r="J10" s="36"/>
      <c r="K10" s="36"/>
      <c r="L10" s="12"/>
    </row>
    <row r="11" spans="1:12" ht="30" x14ac:dyDescent="0.25">
      <c r="A11" s="3" t="s">
        <v>464</v>
      </c>
      <c r="B11" s="57" t="s">
        <v>116</v>
      </c>
      <c r="C11" s="4" t="s">
        <v>474</v>
      </c>
      <c r="D11" s="3" t="s">
        <v>481</v>
      </c>
      <c r="E11" s="3" t="s">
        <v>489</v>
      </c>
      <c r="F11" s="55">
        <v>620000</v>
      </c>
      <c r="G11" s="55">
        <v>660</v>
      </c>
      <c r="H11" s="36"/>
      <c r="I11" s="36"/>
      <c r="J11" s="36"/>
      <c r="K11" s="36"/>
      <c r="L11" s="12"/>
    </row>
    <row r="12" spans="1:12" x14ac:dyDescent="0.25">
      <c r="A12" s="3" t="s">
        <v>465</v>
      </c>
      <c r="B12" s="57" t="s">
        <v>115</v>
      </c>
      <c r="C12" s="3" t="s">
        <v>475</v>
      </c>
      <c r="D12" s="3" t="s">
        <v>483</v>
      </c>
      <c r="E12" s="3" t="s">
        <v>154</v>
      </c>
      <c r="F12" s="55">
        <v>33000</v>
      </c>
      <c r="G12" s="55">
        <v>440</v>
      </c>
      <c r="H12" s="36"/>
      <c r="I12" s="36"/>
      <c r="J12" s="36"/>
      <c r="K12" s="36"/>
      <c r="L12" s="12"/>
    </row>
    <row r="13" spans="1:12" x14ac:dyDescent="0.25">
      <c r="A13" s="3" t="s">
        <v>466</v>
      </c>
      <c r="B13" s="57" t="s">
        <v>33</v>
      </c>
      <c r="C13" s="3" t="s">
        <v>473</v>
      </c>
      <c r="D13" s="3" t="s">
        <v>484</v>
      </c>
      <c r="E13" s="3" t="s">
        <v>154</v>
      </c>
      <c r="F13" s="55">
        <v>500000</v>
      </c>
      <c r="G13" s="55">
        <v>180</v>
      </c>
      <c r="H13" s="36"/>
      <c r="I13" s="36"/>
      <c r="J13" s="36"/>
      <c r="K13" s="36"/>
      <c r="L13" s="12"/>
    </row>
    <row r="14" spans="1:12" x14ac:dyDescent="0.25">
      <c r="A14" s="3" t="s">
        <v>467</v>
      </c>
      <c r="B14" s="57" t="s">
        <v>33</v>
      </c>
      <c r="C14" s="3" t="s">
        <v>476</v>
      </c>
      <c r="D14" s="70" t="s">
        <v>485</v>
      </c>
      <c r="E14" s="3" t="s">
        <v>154</v>
      </c>
      <c r="F14" s="55">
        <v>7000000</v>
      </c>
      <c r="G14" s="55">
        <v>200</v>
      </c>
      <c r="H14" s="36"/>
      <c r="I14" s="36"/>
      <c r="J14" s="36"/>
      <c r="K14" s="36"/>
      <c r="L14" s="12"/>
    </row>
    <row r="15" spans="1:12" x14ac:dyDescent="0.25">
      <c r="A15" s="3" t="s">
        <v>468</v>
      </c>
      <c r="B15" s="57" t="s">
        <v>115</v>
      </c>
      <c r="C15" s="3" t="s">
        <v>477</v>
      </c>
      <c r="D15" s="3" t="s">
        <v>296</v>
      </c>
      <c r="E15" s="3" t="s">
        <v>154</v>
      </c>
      <c r="F15" s="55">
        <v>1200000</v>
      </c>
      <c r="G15" s="55">
        <v>80</v>
      </c>
      <c r="H15" s="36"/>
      <c r="I15" s="36"/>
      <c r="J15" s="36"/>
      <c r="K15" s="36"/>
      <c r="L15" s="12"/>
    </row>
    <row r="16" spans="1:12" x14ac:dyDescent="0.25">
      <c r="A16" s="3" t="s">
        <v>469</v>
      </c>
      <c r="B16" s="57" t="s">
        <v>33</v>
      </c>
      <c r="C16" s="3" t="s">
        <v>478</v>
      </c>
      <c r="D16" s="3" t="s">
        <v>486</v>
      </c>
      <c r="E16" s="3" t="s">
        <v>154</v>
      </c>
      <c r="F16" s="55">
        <v>500000</v>
      </c>
      <c r="G16" s="55">
        <v>342</v>
      </c>
      <c r="H16" s="36"/>
      <c r="I16" s="36"/>
      <c r="J16" s="36"/>
      <c r="K16" s="36"/>
      <c r="L16" s="12"/>
    </row>
    <row r="17" spans="1:12" x14ac:dyDescent="0.25">
      <c r="A17" s="3" t="s">
        <v>470</v>
      </c>
      <c r="B17" s="57" t="s">
        <v>32</v>
      </c>
      <c r="C17" s="3" t="s">
        <v>479</v>
      </c>
      <c r="D17" s="3" t="s">
        <v>487</v>
      </c>
      <c r="E17" s="3" t="s">
        <v>156</v>
      </c>
      <c r="F17" s="55">
        <v>1500000</v>
      </c>
      <c r="G17" s="55">
        <v>5850</v>
      </c>
      <c r="H17" s="36"/>
      <c r="I17" s="36"/>
      <c r="J17" s="36"/>
      <c r="K17" s="36"/>
      <c r="L17" s="12"/>
    </row>
    <row r="18" spans="1:12" x14ac:dyDescent="0.25">
      <c r="A18" s="3" t="s">
        <v>490</v>
      </c>
      <c r="B18" s="57" t="s">
        <v>33</v>
      </c>
      <c r="C18" s="3" t="s">
        <v>476</v>
      </c>
      <c r="D18" s="3" t="s">
        <v>485</v>
      </c>
      <c r="E18" s="3" t="s">
        <v>154</v>
      </c>
      <c r="F18" s="55">
        <v>7000000</v>
      </c>
      <c r="G18" s="55">
        <v>1093</v>
      </c>
      <c r="H18" s="36"/>
      <c r="I18" s="36"/>
      <c r="J18" s="36"/>
      <c r="K18" s="36"/>
      <c r="L18" s="12"/>
    </row>
    <row r="19" spans="1:12" x14ac:dyDescent="0.25">
      <c r="A19" s="3" t="s">
        <v>491</v>
      </c>
      <c r="B19" s="57" t="s">
        <v>33</v>
      </c>
      <c r="C19" s="3" t="s">
        <v>476</v>
      </c>
      <c r="D19" s="3" t="s">
        <v>485</v>
      </c>
      <c r="E19" s="3" t="s">
        <v>154</v>
      </c>
      <c r="F19" s="55">
        <v>7000000</v>
      </c>
      <c r="G19" s="55">
        <v>641</v>
      </c>
      <c r="H19" s="36"/>
      <c r="I19" s="36"/>
      <c r="J19" s="36"/>
      <c r="K19" s="36"/>
      <c r="L19" s="12"/>
    </row>
    <row r="20" spans="1:12" x14ac:dyDescent="0.25">
      <c r="A20" s="3" t="s">
        <v>492</v>
      </c>
      <c r="B20" s="57" t="s">
        <v>33</v>
      </c>
      <c r="C20" s="3" t="s">
        <v>478</v>
      </c>
      <c r="D20" s="3" t="s">
        <v>482</v>
      </c>
      <c r="E20" s="3" t="s">
        <v>156</v>
      </c>
      <c r="F20" s="55">
        <v>350000</v>
      </c>
      <c r="G20" s="55">
        <v>1331</v>
      </c>
      <c r="H20" s="36"/>
      <c r="I20" s="36"/>
      <c r="J20" s="36"/>
      <c r="K20" s="36"/>
      <c r="L20" s="12"/>
    </row>
    <row r="21" spans="1:12" x14ac:dyDescent="0.25">
      <c r="A21" s="3" t="s">
        <v>493</v>
      </c>
      <c r="B21" s="57" t="s">
        <v>33</v>
      </c>
      <c r="C21" s="3" t="s">
        <v>495</v>
      </c>
      <c r="D21" s="3" t="s">
        <v>496</v>
      </c>
      <c r="E21" s="3" t="s">
        <v>154</v>
      </c>
      <c r="F21" s="55">
        <v>650000</v>
      </c>
      <c r="G21" s="55">
        <v>198</v>
      </c>
      <c r="H21" s="36"/>
      <c r="I21" s="36"/>
      <c r="J21" s="36"/>
      <c r="K21" s="36"/>
      <c r="L21" s="12"/>
    </row>
    <row r="22" spans="1:12" x14ac:dyDescent="0.25">
      <c r="A22" s="3" t="s">
        <v>494</v>
      </c>
      <c r="B22" s="57" t="s">
        <v>90</v>
      </c>
      <c r="C22" s="3" t="s">
        <v>497</v>
      </c>
      <c r="D22" s="3" t="s">
        <v>498</v>
      </c>
      <c r="E22" s="3" t="s">
        <v>499</v>
      </c>
      <c r="F22" s="55">
        <v>1000000</v>
      </c>
      <c r="G22" s="55">
        <v>980</v>
      </c>
      <c r="H22" s="36"/>
      <c r="I22" s="36"/>
      <c r="J22" s="36"/>
      <c r="K22" s="36"/>
      <c r="L22" s="12"/>
    </row>
    <row r="23" spans="1:12" x14ac:dyDescent="0.25">
      <c r="A23" s="3" t="s">
        <v>500</v>
      </c>
      <c r="B23" s="57" t="s">
        <v>116</v>
      </c>
      <c r="C23" s="3" t="s">
        <v>501</v>
      </c>
      <c r="D23" s="3" t="s">
        <v>502</v>
      </c>
      <c r="E23" s="3" t="s">
        <v>111</v>
      </c>
      <c r="F23" s="55">
        <v>300000</v>
      </c>
      <c r="G23" s="55">
        <v>1446</v>
      </c>
      <c r="H23" s="36"/>
      <c r="I23" s="36"/>
      <c r="J23" s="36"/>
      <c r="K23" s="36"/>
      <c r="L23" s="12"/>
    </row>
    <row r="24" spans="1:12" x14ac:dyDescent="0.25">
      <c r="A24" s="3"/>
      <c r="B24" s="57"/>
      <c r="C24" s="3"/>
      <c r="D24" s="4"/>
      <c r="E24" s="3"/>
      <c r="F24" s="55"/>
      <c r="G24" s="55"/>
      <c r="H24" s="36"/>
      <c r="I24" s="36"/>
      <c r="J24" s="36"/>
      <c r="K24" s="36"/>
      <c r="L24" s="12"/>
    </row>
    <row r="25" spans="1:12" ht="15.75" thickBot="1" x14ac:dyDescent="0.3">
      <c r="A25" s="34"/>
      <c r="B25" s="7"/>
      <c r="C25" s="5"/>
      <c r="D25" s="11"/>
      <c r="E25" s="11"/>
      <c r="F25" s="20"/>
      <c r="G25" s="19"/>
      <c r="H25" s="38"/>
      <c r="I25" s="38"/>
      <c r="J25" s="38"/>
      <c r="K25" s="38"/>
      <c r="L25" s="13"/>
    </row>
    <row r="26" spans="1:12" ht="15.75" thickBot="1" x14ac:dyDescent="0.3">
      <c r="A26" s="1"/>
      <c r="D26" s="32" t="s">
        <v>57</v>
      </c>
      <c r="E26" s="26"/>
      <c r="F26" s="33">
        <f>SUM(F7:F25)</f>
        <v>29223000</v>
      </c>
      <c r="G26" s="27">
        <f>SUM(G7:G25)</f>
        <v>25656.3</v>
      </c>
      <c r="H26" s="39"/>
      <c r="I26" s="39"/>
      <c r="J26" s="39"/>
      <c r="K26" s="39"/>
      <c r="L26" s="14"/>
    </row>
    <row r="27" spans="1:12" x14ac:dyDescent="0.25">
      <c r="A27" s="1"/>
    </row>
  </sheetData>
  <autoFilter ref="A6:L24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9AA0-0A60-454E-94B6-CE2B2B34FD45}">
  <dimension ref="A1:L27"/>
  <sheetViews>
    <sheetView topLeftCell="A6" workbookViewId="0">
      <selection activeCell="G10" sqref="G10:G11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26.5703125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45962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503</v>
      </c>
      <c r="B8" s="57" t="s">
        <v>114</v>
      </c>
      <c r="C8" s="3" t="s">
        <v>518</v>
      </c>
      <c r="D8" s="4" t="s">
        <v>519</v>
      </c>
      <c r="E8" s="3" t="s">
        <v>156</v>
      </c>
      <c r="F8" s="55">
        <v>581000</v>
      </c>
      <c r="G8" s="55">
        <v>326</v>
      </c>
      <c r="H8" s="36"/>
      <c r="I8" s="36"/>
      <c r="J8" s="36"/>
      <c r="K8" s="36"/>
      <c r="L8" s="12"/>
    </row>
    <row r="9" spans="1:12" x14ac:dyDescent="0.25">
      <c r="A9" s="3" t="s">
        <v>504</v>
      </c>
      <c r="B9" s="57" t="s">
        <v>114</v>
      </c>
      <c r="C9" s="3" t="s">
        <v>518</v>
      </c>
      <c r="D9" s="4" t="s">
        <v>519</v>
      </c>
      <c r="E9" s="3" t="s">
        <v>156</v>
      </c>
      <c r="F9" s="55">
        <v>581000</v>
      </c>
      <c r="G9" s="55">
        <v>115</v>
      </c>
      <c r="H9" s="36"/>
      <c r="I9" s="36"/>
      <c r="J9" s="36"/>
      <c r="K9" s="36"/>
      <c r="L9" s="12"/>
    </row>
    <row r="10" spans="1:12" x14ac:dyDescent="0.25">
      <c r="A10" s="3" t="s">
        <v>505</v>
      </c>
      <c r="B10" s="2" t="s">
        <v>116</v>
      </c>
      <c r="C10" s="2" t="s">
        <v>520</v>
      </c>
      <c r="D10" s="2" t="s">
        <v>521</v>
      </c>
      <c r="E10" s="2" t="s">
        <v>541</v>
      </c>
      <c r="F10" s="55">
        <v>300000</v>
      </c>
      <c r="G10" s="55">
        <v>512</v>
      </c>
      <c r="H10" s="36"/>
      <c r="I10" s="36"/>
      <c r="J10" s="36"/>
      <c r="K10" s="36"/>
      <c r="L10" s="12"/>
    </row>
    <row r="11" spans="1:12" x14ac:dyDescent="0.25">
      <c r="A11" s="3" t="s">
        <v>506</v>
      </c>
      <c r="B11" s="2" t="s">
        <v>116</v>
      </c>
      <c r="C11" s="2" t="s">
        <v>522</v>
      </c>
      <c r="D11" s="2" t="s">
        <v>523</v>
      </c>
      <c r="E11" s="2" t="s">
        <v>542</v>
      </c>
      <c r="F11" s="55">
        <v>1300000</v>
      </c>
      <c r="G11" s="55">
        <v>1524</v>
      </c>
      <c r="H11" s="36"/>
      <c r="I11" s="36"/>
      <c r="J11" s="36"/>
      <c r="K11" s="36"/>
      <c r="L11" s="12"/>
    </row>
    <row r="12" spans="1:12" x14ac:dyDescent="0.25">
      <c r="A12" s="3" t="s">
        <v>507</v>
      </c>
      <c r="B12" s="2" t="s">
        <v>114</v>
      </c>
      <c r="C12" s="2" t="s">
        <v>518</v>
      </c>
      <c r="D12" s="2" t="s">
        <v>337</v>
      </c>
      <c r="E12" s="2" t="s">
        <v>165</v>
      </c>
      <c r="F12" s="55">
        <v>581000</v>
      </c>
      <c r="G12" s="55">
        <v>660</v>
      </c>
      <c r="H12" s="36"/>
      <c r="I12" s="36"/>
      <c r="J12" s="36"/>
      <c r="K12" s="36"/>
      <c r="L12" s="12"/>
    </row>
    <row r="13" spans="1:12" x14ac:dyDescent="0.25">
      <c r="A13" s="3" t="s">
        <v>508</v>
      </c>
      <c r="B13" s="2" t="s">
        <v>33</v>
      </c>
      <c r="C13" s="2" t="s">
        <v>524</v>
      </c>
      <c r="D13" s="2" t="s">
        <v>525</v>
      </c>
      <c r="E13" s="2" t="s">
        <v>154</v>
      </c>
      <c r="F13" s="55">
        <v>700000</v>
      </c>
      <c r="G13" s="55">
        <v>7817</v>
      </c>
      <c r="H13" s="36"/>
      <c r="I13" s="36"/>
      <c r="J13" s="36"/>
      <c r="K13" s="36"/>
      <c r="L13" s="12"/>
    </row>
    <row r="14" spans="1:12" x14ac:dyDescent="0.25">
      <c r="A14" s="3" t="s">
        <v>509</v>
      </c>
      <c r="B14" s="2" t="s">
        <v>108</v>
      </c>
      <c r="C14" s="2" t="s">
        <v>526</v>
      </c>
      <c r="D14" s="2" t="s">
        <v>527</v>
      </c>
      <c r="E14" s="2" t="s">
        <v>136</v>
      </c>
      <c r="F14" s="55">
        <v>300000</v>
      </c>
      <c r="G14" s="55">
        <v>3659</v>
      </c>
      <c r="H14" s="36"/>
      <c r="I14" s="36"/>
      <c r="J14" s="36"/>
      <c r="K14" s="36"/>
      <c r="L14" s="12"/>
    </row>
    <row r="15" spans="1:12" x14ac:dyDescent="0.25">
      <c r="A15" s="3" t="s">
        <v>510</v>
      </c>
      <c r="B15" s="2" t="s">
        <v>33</v>
      </c>
      <c r="C15" s="2" t="s">
        <v>528</v>
      </c>
      <c r="D15" s="2" t="s">
        <v>529</v>
      </c>
      <c r="E15" s="2" t="s">
        <v>424</v>
      </c>
      <c r="F15" s="55">
        <v>300000</v>
      </c>
      <c r="G15" s="55">
        <v>400</v>
      </c>
      <c r="H15" s="36"/>
      <c r="I15" s="36"/>
      <c r="J15" s="36"/>
      <c r="K15" s="36"/>
      <c r="L15" s="12"/>
    </row>
    <row r="16" spans="1:12" x14ac:dyDescent="0.25">
      <c r="A16" s="3" t="s">
        <v>511</v>
      </c>
      <c r="B16" s="2" t="s">
        <v>37</v>
      </c>
      <c r="C16" s="2" t="s">
        <v>530</v>
      </c>
      <c r="D16" s="2" t="s">
        <v>531</v>
      </c>
      <c r="E16" s="2" t="s">
        <v>543</v>
      </c>
      <c r="F16" s="55">
        <v>1200000</v>
      </c>
      <c r="G16" s="55">
        <v>300</v>
      </c>
      <c r="H16" s="36"/>
      <c r="I16" s="36"/>
      <c r="J16" s="36"/>
      <c r="K16" s="36"/>
      <c r="L16" s="12"/>
    </row>
    <row r="17" spans="1:12" x14ac:dyDescent="0.25">
      <c r="A17" s="3" t="s">
        <v>512</v>
      </c>
      <c r="B17" s="2" t="s">
        <v>90</v>
      </c>
      <c r="C17" s="2" t="s">
        <v>532</v>
      </c>
      <c r="D17" s="2" t="s">
        <v>533</v>
      </c>
      <c r="E17" s="2" t="s">
        <v>201</v>
      </c>
      <c r="F17" s="55">
        <v>120000</v>
      </c>
      <c r="G17" s="55">
        <v>440</v>
      </c>
      <c r="H17" s="36"/>
      <c r="I17" s="36"/>
      <c r="J17" s="36"/>
      <c r="K17" s="36"/>
      <c r="L17" s="12"/>
    </row>
    <row r="18" spans="1:12" x14ac:dyDescent="0.25">
      <c r="A18" s="3" t="s">
        <v>513</v>
      </c>
      <c r="B18" s="2" t="s">
        <v>108</v>
      </c>
      <c r="C18" s="2" t="s">
        <v>291</v>
      </c>
      <c r="D18" s="2" t="s">
        <v>534</v>
      </c>
      <c r="E18" s="2" t="s">
        <v>534</v>
      </c>
      <c r="F18" s="55">
        <v>0</v>
      </c>
      <c r="G18" s="55">
        <v>102</v>
      </c>
      <c r="H18" s="36"/>
      <c r="I18" s="36"/>
      <c r="J18" s="36"/>
      <c r="K18" s="36"/>
      <c r="L18" s="12"/>
    </row>
    <row r="19" spans="1:12" x14ac:dyDescent="0.25">
      <c r="A19" s="3" t="s">
        <v>514</v>
      </c>
      <c r="B19" s="2" t="s">
        <v>33</v>
      </c>
      <c r="C19" s="2" t="s">
        <v>535</v>
      </c>
      <c r="D19" s="2" t="s">
        <v>536</v>
      </c>
      <c r="E19" s="2" t="s">
        <v>165</v>
      </c>
      <c r="F19" s="55">
        <v>1000000</v>
      </c>
      <c r="G19" s="55">
        <v>136</v>
      </c>
      <c r="H19" s="36"/>
      <c r="I19" s="36"/>
      <c r="J19" s="36"/>
      <c r="K19" s="36"/>
      <c r="L19" s="12"/>
    </row>
    <row r="20" spans="1:12" x14ac:dyDescent="0.25">
      <c r="A20" s="3" t="s">
        <v>515</v>
      </c>
      <c r="B20" s="2" t="s">
        <v>33</v>
      </c>
      <c r="C20" s="2" t="s">
        <v>537</v>
      </c>
      <c r="D20" s="2" t="s">
        <v>538</v>
      </c>
      <c r="E20" s="2" t="s">
        <v>543</v>
      </c>
      <c r="F20" s="55">
        <v>600000</v>
      </c>
      <c r="G20" s="55">
        <v>300</v>
      </c>
      <c r="H20" s="36"/>
      <c r="I20" s="36"/>
      <c r="J20" s="36"/>
      <c r="K20" s="36"/>
      <c r="L20" s="12"/>
    </row>
    <row r="21" spans="1:12" x14ac:dyDescent="0.25">
      <c r="A21" s="3" t="s">
        <v>516</v>
      </c>
      <c r="B21" s="2" t="s">
        <v>32</v>
      </c>
      <c r="C21" s="2" t="s">
        <v>539</v>
      </c>
      <c r="D21" s="2" t="s">
        <v>540</v>
      </c>
      <c r="E21" s="2" t="s">
        <v>154</v>
      </c>
      <c r="F21" s="55">
        <v>2500000</v>
      </c>
      <c r="G21" s="55">
        <v>1962.5</v>
      </c>
      <c r="H21" s="36"/>
      <c r="I21" s="36"/>
      <c r="J21" s="36"/>
      <c r="K21" s="36"/>
      <c r="L21" s="12"/>
    </row>
    <row r="22" spans="1:12" x14ac:dyDescent="0.25">
      <c r="A22" s="3" t="s">
        <v>517</v>
      </c>
      <c r="B22" s="2" t="s">
        <v>114</v>
      </c>
      <c r="C22" s="2" t="s">
        <v>518</v>
      </c>
      <c r="D22" s="2" t="s">
        <v>337</v>
      </c>
      <c r="E22" s="2" t="s">
        <v>165</v>
      </c>
      <c r="F22" s="55">
        <v>581000</v>
      </c>
      <c r="G22" s="55">
        <v>266</v>
      </c>
      <c r="H22" s="36"/>
      <c r="I22" s="36"/>
      <c r="J22" s="36"/>
      <c r="K22" s="36"/>
      <c r="L22" s="12"/>
    </row>
    <row r="23" spans="1:12" x14ac:dyDescent="0.25">
      <c r="A23" s="3"/>
      <c r="B23" s="57"/>
      <c r="C23" s="3"/>
      <c r="D23" s="3"/>
      <c r="E23" s="3"/>
      <c r="F23" s="55"/>
      <c r="G23" s="55"/>
      <c r="H23" s="36"/>
      <c r="I23" s="36"/>
      <c r="J23" s="36"/>
      <c r="K23" s="36"/>
      <c r="L23" s="12"/>
    </row>
    <row r="24" spans="1:12" x14ac:dyDescent="0.25">
      <c r="A24" s="3"/>
      <c r="B24" s="57"/>
      <c r="C24" s="3"/>
      <c r="D24" s="4"/>
      <c r="E24" s="3"/>
      <c r="F24" s="55"/>
      <c r="G24" s="55"/>
      <c r="H24" s="36"/>
      <c r="I24" s="36"/>
      <c r="J24" s="36"/>
      <c r="K24" s="36"/>
      <c r="L24" s="12"/>
    </row>
    <row r="25" spans="1:12" ht="15.75" thickBot="1" x14ac:dyDescent="0.3">
      <c r="A25" s="34"/>
      <c r="B25" s="7"/>
      <c r="C25" s="5"/>
      <c r="D25" s="11"/>
      <c r="E25" s="11"/>
      <c r="F25" s="20"/>
      <c r="G25" s="19"/>
      <c r="H25" s="38"/>
      <c r="I25" s="38"/>
      <c r="J25" s="38"/>
      <c r="K25" s="38"/>
      <c r="L25" s="13"/>
    </row>
    <row r="26" spans="1:12" ht="15.75" thickBot="1" x14ac:dyDescent="0.3">
      <c r="A26" s="1"/>
      <c r="D26" s="32" t="s">
        <v>57</v>
      </c>
      <c r="E26" s="26"/>
      <c r="F26" s="33">
        <f>SUM(F7:F25)</f>
        <v>10644000</v>
      </c>
      <c r="G26" s="27">
        <f>SUM(G7:G25)</f>
        <v>18519.5</v>
      </c>
      <c r="H26" s="39"/>
      <c r="I26" s="39"/>
      <c r="J26" s="39"/>
      <c r="K26" s="39"/>
      <c r="L26" s="14"/>
    </row>
    <row r="27" spans="1:12" x14ac:dyDescent="0.25">
      <c r="A27" s="1"/>
    </row>
  </sheetData>
  <autoFilter ref="A6:L24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7A0E-68E7-49BF-BF51-84A5E4B967E2}">
  <dimension ref="A1:L37"/>
  <sheetViews>
    <sheetView topLeftCell="A9" workbookViewId="0">
      <selection activeCell="D26" sqref="D26"/>
    </sheetView>
  </sheetViews>
  <sheetFormatPr defaultRowHeight="15" x14ac:dyDescent="0.25"/>
  <cols>
    <col min="1" max="1" width="13.85546875" customWidth="1"/>
    <col min="2" max="2" width="20.28515625" customWidth="1"/>
    <col min="3" max="3" width="33.85546875" customWidth="1"/>
    <col min="4" max="4" width="48.28515625" bestFit="1" customWidth="1"/>
    <col min="5" max="5" width="26.5703125" customWidth="1"/>
    <col min="6" max="6" width="23.28515625" customWidth="1"/>
    <col min="7" max="7" width="23.28515625" bestFit="1" customWidth="1"/>
    <col min="8" max="11" width="11.140625" customWidth="1"/>
    <col min="12" max="12" width="11" customWidth="1"/>
  </cols>
  <sheetData>
    <row r="1" spans="1:12" ht="15.75" thickBot="1" x14ac:dyDescent="0.3"/>
    <row r="2" spans="1:12" ht="35.25" thickBot="1" x14ac:dyDescent="0.6">
      <c r="A2" s="139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30.75" thickBot="1" x14ac:dyDescent="0.5">
      <c r="A3" s="142" t="s">
        <v>460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29.25" thickBot="1" x14ac:dyDescent="0.5">
      <c r="A4" s="145">
        <v>45962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 ht="19.5" thickBot="1" x14ac:dyDescent="0.35">
      <c r="A5" s="119" t="s">
        <v>109</v>
      </c>
      <c r="B5" s="120"/>
      <c r="C5" s="120"/>
      <c r="D5" s="120"/>
      <c r="E5" s="58"/>
      <c r="F5" s="46" t="s">
        <v>1</v>
      </c>
      <c r="G5" s="47"/>
      <c r="H5" s="47"/>
      <c r="I5" s="47"/>
      <c r="J5" s="47"/>
      <c r="K5" s="47"/>
      <c r="L5" s="48"/>
    </row>
    <row r="6" spans="1:12" ht="16.5" customHeight="1" thickBot="1" x14ac:dyDescent="0.3">
      <c r="A6" s="152" t="s">
        <v>38</v>
      </c>
      <c r="B6" s="152" t="s">
        <v>2</v>
      </c>
      <c r="C6" s="152" t="s">
        <v>3</v>
      </c>
      <c r="D6" s="152" t="s">
        <v>4</v>
      </c>
      <c r="E6" s="154" t="s">
        <v>158</v>
      </c>
      <c r="F6" s="152" t="s">
        <v>5</v>
      </c>
      <c r="G6" s="154" t="s">
        <v>6</v>
      </c>
      <c r="H6" s="149" t="s">
        <v>7</v>
      </c>
      <c r="I6" s="150"/>
      <c r="J6" s="150"/>
      <c r="K6" s="151"/>
      <c r="L6" s="152" t="s">
        <v>111</v>
      </c>
    </row>
    <row r="7" spans="1:12" ht="16.5" thickBot="1" x14ac:dyDescent="0.3">
      <c r="A7" s="153"/>
      <c r="B7" s="153"/>
      <c r="C7" s="153"/>
      <c r="D7" s="153"/>
      <c r="E7" s="155"/>
      <c r="F7" s="153"/>
      <c r="G7" s="155"/>
      <c r="H7" s="35">
        <v>2025</v>
      </c>
      <c r="I7" s="35">
        <v>2026</v>
      </c>
      <c r="J7" s="35">
        <v>2027</v>
      </c>
      <c r="K7" s="45">
        <v>2028</v>
      </c>
      <c r="L7" s="153"/>
    </row>
    <row r="8" spans="1:12" ht="26.25" customHeight="1" x14ac:dyDescent="0.25">
      <c r="A8" s="3" t="s">
        <v>552</v>
      </c>
      <c r="B8" s="2" t="s">
        <v>33</v>
      </c>
      <c r="C8" s="2" t="s">
        <v>476</v>
      </c>
      <c r="D8" s="4" t="s">
        <v>576</v>
      </c>
      <c r="E8" s="2" t="s">
        <v>154</v>
      </c>
      <c r="F8" s="70">
        <v>1000000</v>
      </c>
      <c r="G8" s="55">
        <v>369</v>
      </c>
      <c r="H8" s="36"/>
      <c r="I8" s="36"/>
      <c r="J8" s="36"/>
      <c r="K8" s="36"/>
      <c r="L8" s="12"/>
    </row>
    <row r="9" spans="1:12" x14ac:dyDescent="0.25">
      <c r="A9" s="3" t="s">
        <v>553</v>
      </c>
      <c r="B9" s="2" t="s">
        <v>33</v>
      </c>
      <c r="C9" s="2" t="s">
        <v>476</v>
      </c>
      <c r="D9" s="2" t="s">
        <v>577</v>
      </c>
      <c r="E9" s="2" t="s">
        <v>154</v>
      </c>
      <c r="F9" s="70">
        <v>1000000</v>
      </c>
      <c r="G9" s="55">
        <v>289</v>
      </c>
      <c r="H9" s="36"/>
      <c r="I9" s="36"/>
      <c r="J9" s="36"/>
      <c r="K9" s="36"/>
      <c r="L9" s="12"/>
    </row>
    <row r="10" spans="1:12" x14ac:dyDescent="0.25">
      <c r="A10" s="3" t="s">
        <v>554</v>
      </c>
      <c r="B10" s="2" t="s">
        <v>32</v>
      </c>
      <c r="C10" s="2" t="s">
        <v>578</v>
      </c>
      <c r="D10" s="2" t="s">
        <v>579</v>
      </c>
      <c r="E10" s="2"/>
      <c r="F10" s="70" t="s">
        <v>19</v>
      </c>
      <c r="G10" s="55">
        <v>154</v>
      </c>
      <c r="H10" s="36"/>
      <c r="I10" s="36"/>
      <c r="J10" s="36"/>
      <c r="K10" s="36"/>
      <c r="L10" s="12"/>
    </row>
    <row r="11" spans="1:12" x14ac:dyDescent="0.25">
      <c r="A11" s="3" t="s">
        <v>555</v>
      </c>
      <c r="B11" s="2" t="s">
        <v>91</v>
      </c>
      <c r="C11" s="2" t="s">
        <v>580</v>
      </c>
      <c r="D11" s="2" t="s">
        <v>581</v>
      </c>
      <c r="E11" s="2" t="s">
        <v>607</v>
      </c>
      <c r="F11" s="70">
        <v>408000</v>
      </c>
      <c r="G11" s="55">
        <v>842.4</v>
      </c>
      <c r="H11" s="36"/>
      <c r="I11" s="36"/>
      <c r="J11" s="36"/>
      <c r="K11" s="36"/>
      <c r="L11" s="12"/>
    </row>
    <row r="12" spans="1:12" x14ac:dyDescent="0.25">
      <c r="A12" s="3" t="s">
        <v>556</v>
      </c>
      <c r="B12" s="2" t="s">
        <v>108</v>
      </c>
      <c r="C12" s="2" t="s">
        <v>582</v>
      </c>
      <c r="D12" s="2" t="s">
        <v>583</v>
      </c>
      <c r="E12" s="2" t="s">
        <v>136</v>
      </c>
      <c r="F12" s="70">
        <v>1200000</v>
      </c>
      <c r="G12" s="55">
        <v>524</v>
      </c>
      <c r="H12" s="36"/>
      <c r="I12" s="36"/>
      <c r="J12" s="36"/>
      <c r="K12" s="36"/>
      <c r="L12" s="12"/>
    </row>
    <row r="13" spans="1:12" x14ac:dyDescent="0.25">
      <c r="A13" s="3" t="s">
        <v>557</v>
      </c>
      <c r="B13" s="2" t="s">
        <v>108</v>
      </c>
      <c r="C13" s="2" t="s">
        <v>582</v>
      </c>
      <c r="D13" s="2" t="s">
        <v>583</v>
      </c>
      <c r="E13" s="2" t="s">
        <v>159</v>
      </c>
      <c r="F13" s="70">
        <v>1200000</v>
      </c>
      <c r="G13" s="55">
        <v>5310</v>
      </c>
      <c r="H13" s="36"/>
      <c r="I13" s="36"/>
      <c r="J13" s="36"/>
      <c r="K13" s="36"/>
      <c r="L13" s="12"/>
    </row>
    <row r="14" spans="1:12" x14ac:dyDescent="0.25">
      <c r="A14" s="3" t="s">
        <v>558</v>
      </c>
      <c r="B14" s="2" t="s">
        <v>108</v>
      </c>
      <c r="C14" s="2" t="s">
        <v>584</v>
      </c>
      <c r="D14" s="2" t="s">
        <v>585</v>
      </c>
      <c r="E14" s="2" t="s">
        <v>159</v>
      </c>
      <c r="F14" s="70">
        <v>700000</v>
      </c>
      <c r="G14" s="55">
        <v>80</v>
      </c>
      <c r="H14" s="36"/>
      <c r="I14" s="36"/>
      <c r="J14" s="36"/>
      <c r="K14" s="36"/>
      <c r="L14" s="12"/>
    </row>
    <row r="15" spans="1:12" x14ac:dyDescent="0.25">
      <c r="A15" s="3" t="s">
        <v>559</v>
      </c>
      <c r="B15" s="2" t="s">
        <v>115</v>
      </c>
      <c r="C15" s="2" t="s">
        <v>586</v>
      </c>
      <c r="D15" s="2" t="s">
        <v>587</v>
      </c>
      <c r="E15" s="2" t="s">
        <v>608</v>
      </c>
      <c r="F15" s="70">
        <v>230000</v>
      </c>
      <c r="G15" s="55">
        <v>300</v>
      </c>
      <c r="H15" s="36"/>
      <c r="I15" s="36"/>
      <c r="J15" s="36"/>
      <c r="K15" s="36"/>
      <c r="L15" s="12"/>
    </row>
    <row r="16" spans="1:12" x14ac:dyDescent="0.25">
      <c r="A16" s="3" t="s">
        <v>560</v>
      </c>
      <c r="B16" s="2" t="s">
        <v>116</v>
      </c>
      <c r="C16" s="2" t="s">
        <v>588</v>
      </c>
      <c r="D16" s="2" t="s">
        <v>589</v>
      </c>
      <c r="E16" s="2" t="s">
        <v>609</v>
      </c>
      <c r="F16" s="70">
        <v>380000</v>
      </c>
      <c r="G16" s="55">
        <v>1230</v>
      </c>
      <c r="H16" s="36"/>
      <c r="I16" s="36"/>
      <c r="J16" s="36"/>
      <c r="K16" s="36"/>
      <c r="L16" s="12"/>
    </row>
    <row r="17" spans="1:12" x14ac:dyDescent="0.25">
      <c r="A17" s="3" t="s">
        <v>561</v>
      </c>
      <c r="B17" s="2" t="s">
        <v>33</v>
      </c>
      <c r="C17" s="2" t="s">
        <v>476</v>
      </c>
      <c r="D17" s="2" t="s">
        <v>485</v>
      </c>
      <c r="E17" s="2" t="s">
        <v>154</v>
      </c>
      <c r="F17" s="70">
        <v>7000000</v>
      </c>
      <c r="G17" s="55">
        <v>1189</v>
      </c>
      <c r="H17" s="36"/>
      <c r="I17" s="36"/>
      <c r="J17" s="36"/>
      <c r="K17" s="36"/>
      <c r="L17" s="12"/>
    </row>
    <row r="18" spans="1:12" x14ac:dyDescent="0.25">
      <c r="A18" s="3" t="s">
        <v>562</v>
      </c>
      <c r="B18" s="2" t="s">
        <v>115</v>
      </c>
      <c r="C18" s="2" t="s">
        <v>590</v>
      </c>
      <c r="D18" s="2" t="s">
        <v>591</v>
      </c>
      <c r="E18" s="2" t="s">
        <v>610</v>
      </c>
      <c r="F18" s="70">
        <v>4100000</v>
      </c>
      <c r="G18" s="55">
        <v>2000</v>
      </c>
      <c r="H18" s="36"/>
      <c r="I18" s="36"/>
      <c r="J18" s="36"/>
      <c r="K18" s="36"/>
      <c r="L18" s="12"/>
    </row>
    <row r="19" spans="1:12" x14ac:dyDescent="0.25">
      <c r="A19" s="3" t="s">
        <v>563</v>
      </c>
      <c r="B19" s="2" t="s">
        <v>90</v>
      </c>
      <c r="C19" s="2" t="s">
        <v>592</v>
      </c>
      <c r="D19" s="2" t="s">
        <v>593</v>
      </c>
      <c r="E19" s="2" t="s">
        <v>611</v>
      </c>
      <c r="F19" s="70">
        <v>16000</v>
      </c>
      <c r="G19" s="55">
        <v>800</v>
      </c>
      <c r="H19" s="36"/>
      <c r="I19" s="36"/>
      <c r="J19" s="36"/>
      <c r="K19" s="36"/>
      <c r="L19" s="12"/>
    </row>
    <row r="20" spans="1:12" x14ac:dyDescent="0.25">
      <c r="A20" s="3" t="s">
        <v>564</v>
      </c>
      <c r="B20" s="2" t="s">
        <v>108</v>
      </c>
      <c r="C20" s="2" t="s">
        <v>224</v>
      </c>
      <c r="D20" s="2" t="s">
        <v>594</v>
      </c>
      <c r="E20" s="2" t="s">
        <v>159</v>
      </c>
      <c r="F20" s="70">
        <v>1600000</v>
      </c>
      <c r="G20" s="55">
        <v>17176</v>
      </c>
      <c r="H20" s="36"/>
      <c r="I20" s="36"/>
      <c r="J20" s="36"/>
      <c r="K20" s="36"/>
      <c r="L20" s="12"/>
    </row>
    <row r="21" spans="1:12" x14ac:dyDescent="0.25">
      <c r="A21" s="3" t="s">
        <v>565</v>
      </c>
      <c r="B21" s="2" t="s">
        <v>108</v>
      </c>
      <c r="C21" s="2" t="s">
        <v>224</v>
      </c>
      <c r="D21" s="2" t="s">
        <v>595</v>
      </c>
      <c r="E21" s="2" t="s">
        <v>612</v>
      </c>
      <c r="F21" s="70">
        <v>500000</v>
      </c>
      <c r="G21" s="55">
        <v>12099.9</v>
      </c>
      <c r="H21" s="36"/>
      <c r="I21" s="36"/>
      <c r="J21" s="36"/>
      <c r="K21" s="36"/>
      <c r="L21" s="12"/>
    </row>
    <row r="22" spans="1:12" x14ac:dyDescent="0.25">
      <c r="A22" s="3" t="s">
        <v>566</v>
      </c>
      <c r="B22" s="2" t="s">
        <v>116</v>
      </c>
      <c r="C22" s="2" t="s">
        <v>472</v>
      </c>
      <c r="D22" s="2" t="s">
        <v>481</v>
      </c>
      <c r="E22" s="2" t="s">
        <v>165</v>
      </c>
      <c r="F22" s="70">
        <v>620000</v>
      </c>
      <c r="G22" s="71">
        <v>360</v>
      </c>
      <c r="H22" s="36"/>
      <c r="I22" s="36"/>
      <c r="J22" s="36"/>
      <c r="K22" s="36"/>
      <c r="L22" s="12"/>
    </row>
    <row r="23" spans="1:12" x14ac:dyDescent="0.25">
      <c r="A23" s="3" t="s">
        <v>567</v>
      </c>
      <c r="B23" s="2" t="s">
        <v>33</v>
      </c>
      <c r="C23" s="2" t="s">
        <v>596</v>
      </c>
      <c r="D23" s="2" t="s">
        <v>597</v>
      </c>
      <c r="E23" s="2" t="s">
        <v>154</v>
      </c>
      <c r="F23" s="70">
        <v>800000</v>
      </c>
      <c r="G23" s="71">
        <v>110</v>
      </c>
      <c r="H23" s="36"/>
      <c r="I23" s="36"/>
      <c r="J23" s="36"/>
      <c r="K23" s="36"/>
      <c r="L23" s="12"/>
    </row>
    <row r="24" spans="1:12" x14ac:dyDescent="0.25">
      <c r="A24" s="3" t="s">
        <v>568</v>
      </c>
      <c r="B24" s="2" t="s">
        <v>108</v>
      </c>
      <c r="C24" s="2" t="s">
        <v>582</v>
      </c>
      <c r="D24" s="2" t="s">
        <v>598</v>
      </c>
      <c r="E24" s="2" t="s">
        <v>159</v>
      </c>
      <c r="F24" s="70">
        <v>1200000</v>
      </c>
      <c r="G24" s="55">
        <v>255</v>
      </c>
      <c r="H24" s="36"/>
      <c r="I24" s="36"/>
      <c r="J24" s="36"/>
      <c r="K24" s="36"/>
      <c r="L24" s="12"/>
    </row>
    <row r="25" spans="1:12" x14ac:dyDescent="0.25">
      <c r="A25" s="3" t="s">
        <v>569</v>
      </c>
      <c r="B25" s="2" t="s">
        <v>34</v>
      </c>
      <c r="C25" s="2" t="s">
        <v>188</v>
      </c>
      <c r="D25" s="2" t="s">
        <v>599</v>
      </c>
      <c r="E25" s="2" t="s">
        <v>613</v>
      </c>
      <c r="F25" s="70">
        <v>232000</v>
      </c>
      <c r="G25" s="55">
        <v>2000</v>
      </c>
      <c r="H25" s="36"/>
      <c r="I25" s="36"/>
      <c r="J25" s="36"/>
      <c r="K25" s="36"/>
      <c r="L25" s="12"/>
    </row>
    <row r="26" spans="1:12" x14ac:dyDescent="0.25">
      <c r="A26" s="3" t="s">
        <v>570</v>
      </c>
      <c r="B26" s="2" t="s">
        <v>114</v>
      </c>
      <c r="C26" s="2" t="s">
        <v>600</v>
      </c>
      <c r="D26" s="2" t="s">
        <v>601</v>
      </c>
      <c r="E26" s="2" t="s">
        <v>614</v>
      </c>
      <c r="F26" s="70" t="s">
        <v>19</v>
      </c>
      <c r="G26" s="55">
        <v>1000</v>
      </c>
      <c r="H26" s="36"/>
      <c r="I26" s="36"/>
      <c r="J26" s="36"/>
      <c r="K26" s="36"/>
      <c r="L26" s="12"/>
    </row>
    <row r="27" spans="1:12" x14ac:dyDescent="0.25">
      <c r="A27" s="3" t="s">
        <v>571</v>
      </c>
      <c r="B27" s="2" t="s">
        <v>108</v>
      </c>
      <c r="C27" s="2" t="s">
        <v>224</v>
      </c>
      <c r="D27" s="2" t="s">
        <v>602</v>
      </c>
      <c r="E27" s="2" t="s">
        <v>136</v>
      </c>
      <c r="F27" s="70">
        <v>1600000</v>
      </c>
      <c r="G27" s="55">
        <v>14624</v>
      </c>
      <c r="H27" s="36"/>
      <c r="I27" s="36"/>
      <c r="J27" s="36"/>
      <c r="K27" s="36"/>
      <c r="L27" s="12"/>
    </row>
    <row r="28" spans="1:12" x14ac:dyDescent="0.25">
      <c r="A28" s="3" t="s">
        <v>572</v>
      </c>
      <c r="B28" s="2" t="s">
        <v>108</v>
      </c>
      <c r="C28" s="2" t="s">
        <v>224</v>
      </c>
      <c r="D28" s="2" t="s">
        <v>602</v>
      </c>
      <c r="E28" s="2" t="s">
        <v>159</v>
      </c>
      <c r="F28" s="70">
        <v>1600000</v>
      </c>
      <c r="G28" s="55">
        <v>19267</v>
      </c>
      <c r="H28" s="36"/>
      <c r="I28" s="36"/>
      <c r="J28" s="36"/>
      <c r="K28" s="36"/>
      <c r="L28" s="12"/>
    </row>
    <row r="29" spans="1:12" x14ac:dyDescent="0.25">
      <c r="A29" s="3" t="s">
        <v>573</v>
      </c>
      <c r="B29" s="2" t="s">
        <v>116</v>
      </c>
      <c r="C29" s="2" t="s">
        <v>472</v>
      </c>
      <c r="D29" s="2" t="s">
        <v>481</v>
      </c>
      <c r="E29" s="2" t="s">
        <v>165</v>
      </c>
      <c r="F29" s="70">
        <v>620000</v>
      </c>
      <c r="G29" s="55">
        <v>1175</v>
      </c>
      <c r="H29" s="36"/>
      <c r="I29" s="36"/>
      <c r="J29" s="36"/>
      <c r="K29" s="36"/>
      <c r="L29" s="12"/>
    </row>
    <row r="30" spans="1:12" x14ac:dyDescent="0.25">
      <c r="A30" s="3" t="s">
        <v>574</v>
      </c>
      <c r="B30" s="2" t="s">
        <v>90</v>
      </c>
      <c r="C30" s="2" t="s">
        <v>603</v>
      </c>
      <c r="D30" s="2" t="s">
        <v>604</v>
      </c>
      <c r="E30" s="2" t="s">
        <v>611</v>
      </c>
      <c r="F30" s="70">
        <v>500000</v>
      </c>
      <c r="G30" s="55">
        <v>1364</v>
      </c>
      <c r="H30" s="36"/>
      <c r="I30" s="36"/>
      <c r="J30" s="36"/>
      <c r="K30" s="36"/>
      <c r="L30" s="12"/>
    </row>
    <row r="31" spans="1:12" x14ac:dyDescent="0.25">
      <c r="A31" s="3" t="s">
        <v>575</v>
      </c>
      <c r="B31" s="2" t="s">
        <v>262</v>
      </c>
      <c r="C31" s="2" t="s">
        <v>605</v>
      </c>
      <c r="D31" s="2" t="s">
        <v>606</v>
      </c>
      <c r="E31" s="2" t="s">
        <v>165</v>
      </c>
      <c r="F31" s="70" t="s">
        <v>19</v>
      </c>
      <c r="G31" s="55">
        <v>39245</v>
      </c>
      <c r="H31" s="36"/>
      <c r="I31" s="36"/>
      <c r="J31" s="36"/>
      <c r="K31" s="36"/>
      <c r="L31" s="12"/>
    </row>
    <row r="32" spans="1:12" x14ac:dyDescent="0.25">
      <c r="A32" s="3"/>
      <c r="B32" s="2"/>
      <c r="C32" s="2"/>
      <c r="D32" s="2"/>
      <c r="E32" s="2"/>
      <c r="F32" s="55"/>
      <c r="G32" s="55"/>
      <c r="H32" s="36"/>
      <c r="I32" s="36"/>
      <c r="J32" s="36"/>
      <c r="K32" s="36"/>
      <c r="L32" s="12"/>
    </row>
    <row r="33" spans="1:12" x14ac:dyDescent="0.25">
      <c r="A33" s="3"/>
      <c r="B33" s="57"/>
      <c r="C33" s="3"/>
      <c r="D33" s="3"/>
      <c r="E33" s="3"/>
      <c r="F33" s="55"/>
      <c r="G33" s="55"/>
      <c r="H33" s="36"/>
      <c r="I33" s="36"/>
      <c r="J33" s="36"/>
      <c r="K33" s="36"/>
      <c r="L33" s="12"/>
    </row>
    <row r="34" spans="1:12" x14ac:dyDescent="0.25">
      <c r="A34" s="3"/>
      <c r="B34" s="57"/>
      <c r="C34" s="3"/>
      <c r="D34" s="4"/>
      <c r="E34" s="3"/>
      <c r="F34" s="55"/>
      <c r="G34" s="55"/>
      <c r="H34" s="36"/>
      <c r="I34" s="36"/>
      <c r="J34" s="36"/>
      <c r="K34" s="36"/>
      <c r="L34" s="12"/>
    </row>
    <row r="35" spans="1:12" ht="15.75" thickBot="1" x14ac:dyDescent="0.3">
      <c r="A35" s="34"/>
      <c r="B35" s="7"/>
      <c r="C35" s="5"/>
      <c r="D35" s="11"/>
      <c r="E35" s="11"/>
      <c r="F35" s="20"/>
      <c r="G35" s="19"/>
      <c r="H35" s="38"/>
      <c r="I35" s="38"/>
      <c r="J35" s="38"/>
      <c r="K35" s="38"/>
      <c r="L35" s="13"/>
    </row>
    <row r="36" spans="1:12" ht="15.75" thickBot="1" x14ac:dyDescent="0.3">
      <c r="A36" s="1"/>
      <c r="D36" s="32" t="s">
        <v>57</v>
      </c>
      <c r="E36" s="26"/>
      <c r="F36" s="33">
        <f>SUM(F7:F35)</f>
        <v>26506000</v>
      </c>
      <c r="G36" s="27">
        <f>SUM(G7:G35)</f>
        <v>121763.3</v>
      </c>
      <c r="H36" s="39"/>
      <c r="I36" s="39"/>
      <c r="J36" s="39"/>
      <c r="K36" s="39"/>
      <c r="L36" s="14"/>
    </row>
    <row r="37" spans="1:12" x14ac:dyDescent="0.25">
      <c r="A37" s="1"/>
    </row>
  </sheetData>
  <autoFilter ref="A6:L34" xr:uid="{306BBA88-B670-4653-8723-10B6F859CD8B}">
    <filterColumn colId="7" showButton="0"/>
    <filterColumn colId="8" showButton="0"/>
    <filterColumn colId="9" showButton="0"/>
    <filterColumn colId="10" showButton="0"/>
  </autoFilter>
  <mergeCells count="13">
    <mergeCell ref="G6:G7"/>
    <mergeCell ref="H6:K6"/>
    <mergeCell ref="L6:L7"/>
    <mergeCell ref="A2:L2"/>
    <mergeCell ref="A3:L3"/>
    <mergeCell ref="A4:L4"/>
    <mergeCell ref="A5:D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SUMMARY</vt:lpstr>
      <vt:lpstr>JAN'25</vt:lpstr>
      <vt:lpstr>FEB'25</vt:lpstr>
      <vt:lpstr>MAR'25</vt:lpstr>
      <vt:lpstr>Apr'25</vt:lpstr>
      <vt:lpstr>May'25</vt:lpstr>
      <vt:lpstr>Jun'25</vt:lpstr>
      <vt:lpstr>July'25</vt:lpstr>
      <vt:lpstr>Augt'25</vt:lpstr>
      <vt:lpstr>Sept'25</vt:lpstr>
      <vt:lpstr>Oct'25</vt:lpstr>
      <vt:lpstr>Nov'25</vt:lpstr>
      <vt:lpstr>Dec'25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Noor hasni Husin</cp:lastModifiedBy>
  <cp:lastPrinted>2026-04-28T06:58:12Z</cp:lastPrinted>
  <dcterms:created xsi:type="dcterms:W3CDTF">2021-09-01T09:25:19Z</dcterms:created>
  <dcterms:modified xsi:type="dcterms:W3CDTF">2026-04-28T09:07:33Z</dcterms:modified>
</cp:coreProperties>
</file>