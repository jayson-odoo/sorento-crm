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407\Desktop\Ai\"/>
    </mc:Choice>
  </mc:AlternateContent>
  <xr:revisionPtr revIDLastSave="0" documentId="8_{6F4CCC1F-180C-435F-8CAD-0441522DB0FC}" xr6:coauthVersionLast="47" xr6:coauthVersionMax="47" xr10:uidLastSave="{00000000-0000-0000-0000-000000000000}"/>
  <bookViews>
    <workbookView xWindow="-120" yWindow="-120" windowWidth="20730" windowHeight="11160" xr2:uid="{213423FE-0B30-433E-B292-E72527D53345}"/>
  </bookViews>
  <sheets>
    <sheet name="第1柜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R19" i="1"/>
  <c r="S19" i="1" s="1"/>
  <c r="O19" i="1"/>
  <c r="L19" i="1"/>
  <c r="Q19" i="1" s="1"/>
  <c r="R18" i="1"/>
  <c r="S18" i="1" s="1"/>
  <c r="Q18" i="1"/>
  <c r="O18" i="1"/>
  <c r="L18" i="1"/>
  <c r="N18" i="1" s="1"/>
  <c r="R17" i="1"/>
  <c r="S17" i="1" s="1"/>
  <c r="O17" i="1"/>
  <c r="L17" i="1"/>
  <c r="Q17" i="1" s="1"/>
  <c r="S16" i="1"/>
  <c r="S20" i="1" s="1"/>
  <c r="Q16" i="1"/>
  <c r="O16" i="1"/>
  <c r="O20" i="1" s="1"/>
  <c r="N16" i="1"/>
  <c r="L16" i="1"/>
  <c r="L20" i="1" s="1"/>
  <c r="Q20" i="1" l="1"/>
  <c r="N17" i="1"/>
  <c r="N20" i="1" s="1"/>
  <c r="N19" i="1"/>
</calcChain>
</file>

<file path=xl/sharedStrings.xml><?xml version="1.0" encoding="utf-8"?>
<sst xmlns="http://schemas.openxmlformats.org/spreadsheetml/2006/main" count="65" uniqueCount="59">
  <si>
    <t>NEW YANGGANG INTELLIGENT TECHNOLOGY CO., LTD</t>
  </si>
  <si>
    <t>ADD: BLOCK 38-1,NO.20,HUIZHI ROAD,DAZE TOWN,</t>
  </si>
  <si>
    <t>XINHUI DISTRICT,JIANGMEN CITY,CHINA</t>
  </si>
  <si>
    <r>
      <rPr>
        <b/>
        <u/>
        <sz val="18"/>
        <color theme="1"/>
        <rFont val="Times New Roman"/>
        <charset val="134"/>
      </rPr>
      <t xml:space="preserve">PROFORMA INVOICE - </t>
    </r>
    <r>
      <rPr>
        <b/>
        <u/>
        <sz val="18"/>
        <color theme="1"/>
        <rFont val="宋体"/>
        <charset val="134"/>
      </rPr>
      <t>形式发票</t>
    </r>
  </si>
  <si>
    <t>SORENTO SDN. BHD.</t>
  </si>
  <si>
    <t>Date:</t>
  </si>
  <si>
    <t xml:space="preserve">NO.5, JALAN ASTANA 2/KU2, </t>
  </si>
  <si>
    <t>PI No.:</t>
  </si>
  <si>
    <t>BANDAR BUKIT RAJA, 41050 KLANG,</t>
  </si>
  <si>
    <t xml:space="preserve">SELANGOR DARUL EHSAN, MALAYSIA.    </t>
  </si>
  <si>
    <t>TEL: +603-3082 9288 FAX: +603-3082 9878</t>
  </si>
  <si>
    <r>
      <t>提单号：</t>
    </r>
    <r>
      <rPr>
        <b/>
        <sz val="14"/>
        <color theme="1"/>
        <rFont val="Times New Roman"/>
        <charset val="134"/>
      </rPr>
      <t xml:space="preserve">                            </t>
    </r>
    <r>
      <rPr>
        <b/>
        <sz val="14"/>
        <color theme="1"/>
        <rFont val="宋体"/>
        <charset val="134"/>
      </rPr>
      <t>柜号：FSCU8706420</t>
    </r>
    <r>
      <rPr>
        <b/>
        <sz val="14"/>
        <color theme="1"/>
        <rFont val="Times New Roman"/>
        <charset val="134"/>
      </rPr>
      <t xml:space="preserve">             </t>
    </r>
    <r>
      <rPr>
        <b/>
        <sz val="14"/>
        <color theme="1"/>
        <rFont val="宋体"/>
        <charset val="134"/>
      </rPr>
      <t>封条：OOLLJN6147</t>
    </r>
  </si>
  <si>
    <t xml:space="preserve">  SORENTO装柜明细   2026年9月14日</t>
  </si>
  <si>
    <t>序号</t>
  </si>
  <si>
    <t>工厂型号</t>
  </si>
  <si>
    <t>品名</t>
  </si>
  <si>
    <t>唛头</t>
  </si>
  <si>
    <t>客户型号</t>
  </si>
  <si>
    <t>规格尺寸</t>
  </si>
  <si>
    <t>外箱/木托尺寸</t>
  </si>
  <si>
    <t>单箱数量
（个）</t>
  </si>
  <si>
    <t>件数
（件）</t>
  </si>
  <si>
    <t>总数量
（个）</t>
  </si>
  <si>
    <t>单价
（元）</t>
  </si>
  <si>
    <t>金额
（元）</t>
  </si>
  <si>
    <t>方数</t>
  </si>
  <si>
    <t>单个产品重量（ＫＧ)</t>
  </si>
  <si>
    <t>货物净重</t>
  </si>
  <si>
    <t>单箱/单板重量（KG）</t>
  </si>
  <si>
    <t>总重量（KG）</t>
  </si>
  <si>
    <t>备注</t>
  </si>
  <si>
    <t>R25-5444磨砂</t>
  </si>
  <si>
    <t>不锈钢水槽</t>
  </si>
  <si>
    <t>Sorento</t>
  </si>
  <si>
    <t>SRTKS2406</t>
  </si>
  <si>
    <t>540*440*230</t>
  </si>
  <si>
    <t>木托包装/SORENTO商标/全钢内牙钢头SRTW304SS+纸箱单独配套上柜</t>
  </si>
  <si>
    <t>6547厚面板单盆/压纹黑金刚（火山纹）</t>
  </si>
  <si>
    <t>不锈钢手工水槽</t>
  </si>
  <si>
    <t>SRTKS6547-BL</t>
  </si>
  <si>
    <t>650*470*250</t>
  </si>
  <si>
    <t>纸箱包装/SORENTO商标/黑色大杯钢头/开孔板/沥水篮/菜板</t>
  </si>
  <si>
    <r>
      <t>8047单盆厚面板/压纹黑金刚</t>
    </r>
    <r>
      <rPr>
        <b/>
        <sz val="12"/>
        <color rgb="FFFF0000"/>
        <rFont val="宋体"/>
        <charset val="134"/>
      </rPr>
      <t>（新包装/304材质）</t>
    </r>
  </si>
  <si>
    <t>SRTKS8047-BL-NEW</t>
  </si>
  <si>
    <t>800*470*250</t>
  </si>
  <si>
    <t>纸箱包装/SORENTO商标/304黑色钢头/沥水篮/菜板</t>
  </si>
  <si>
    <r>
      <t>8047单盆厚面板/压纹原色纳米</t>
    </r>
    <r>
      <rPr>
        <b/>
        <sz val="12"/>
        <color rgb="FFFF0000"/>
        <rFont val="宋体"/>
        <charset val="134"/>
      </rPr>
      <t>（新包装/304材质）</t>
    </r>
  </si>
  <si>
    <t>SRTKS8047-NEW</t>
  </si>
  <si>
    <t>纸箱包装/SORENTO商标/304拉丝钢头/304原色纳米蜂窝沥水篮/菜板</t>
  </si>
  <si>
    <t>合计：</t>
  </si>
  <si>
    <t>Beneficiary : NEW YANGGANG INTELLIGENT TECHNOLOGY CO., LTD</t>
  </si>
  <si>
    <t>BLOCK 38-1,NO.20,HUIZHI ROAD,DAZE TOWN,XINHUI DISTRICT,JIANGMEN CITY,CHINA</t>
  </si>
  <si>
    <r>
      <rPr>
        <b/>
        <sz val="10"/>
        <color rgb="FFFF0000"/>
        <rFont val="Times New Roman"/>
        <charset val="134"/>
      </rPr>
      <t>BENEFICIARY BANK</t>
    </r>
    <r>
      <rPr>
        <b/>
        <sz val="10"/>
        <color rgb="FFFF0000"/>
        <rFont val="宋体"/>
        <charset val="134"/>
      </rPr>
      <t>：</t>
    </r>
    <r>
      <rPr>
        <b/>
        <sz val="10"/>
        <color rgb="FFFF0000"/>
        <rFont val="Times New Roman"/>
        <charset val="134"/>
      </rPr>
      <t>JIANGMEN RURAL COMMERCIAL BANK CO.,LTD.</t>
    </r>
  </si>
  <si>
    <r>
      <rPr>
        <b/>
        <sz val="10"/>
        <color rgb="FFFF0000"/>
        <rFont val="Times New Roman"/>
        <charset val="134"/>
      </rPr>
      <t>BANK ADDRESS</t>
    </r>
    <r>
      <rPr>
        <b/>
        <sz val="10"/>
        <color rgb="FFFF0000"/>
        <rFont val="宋体"/>
        <charset val="134"/>
      </rPr>
      <t>：</t>
    </r>
    <r>
      <rPr>
        <b/>
        <sz val="10"/>
        <color rgb="FFFF0000"/>
        <rFont val="Times New Roman"/>
        <charset val="134"/>
      </rPr>
      <t xml:space="preserve"> NO.68 QICHAO AVENUE, HUICHENG, XINHUI DISTRICT, JIANGMEN CITY, GUANGDONG PROVINCE, CHINA.</t>
    </r>
  </si>
  <si>
    <r>
      <rPr>
        <b/>
        <sz val="10"/>
        <color rgb="FFFF0000"/>
        <rFont val="Times New Roman"/>
        <charset val="134"/>
      </rPr>
      <t>CNAPS CODE</t>
    </r>
    <r>
      <rPr>
        <b/>
        <sz val="10"/>
        <color rgb="FFFF0000"/>
        <rFont val="宋体"/>
        <charset val="134"/>
      </rPr>
      <t>：</t>
    </r>
    <r>
      <rPr>
        <b/>
        <sz val="10"/>
        <color rgb="FFFF0000"/>
        <rFont val="Times New Roman"/>
        <charset val="134"/>
      </rPr>
      <t>314589010013</t>
    </r>
  </si>
  <si>
    <t>SWIFT BIC:RCXHCNBJXXX</t>
  </si>
  <si>
    <r>
      <rPr>
        <b/>
        <sz val="16"/>
        <color rgb="FFFF0000"/>
        <rFont val="Times New Roman"/>
        <charset val="134"/>
      </rPr>
      <t>A/C NO.</t>
    </r>
    <r>
      <rPr>
        <b/>
        <sz val="16"/>
        <color rgb="FFFF0000"/>
        <rFont val="宋体"/>
        <charset val="134"/>
      </rPr>
      <t>：</t>
    </r>
    <r>
      <rPr>
        <b/>
        <sz val="16"/>
        <color rgb="FFFF0000"/>
        <rFont val="Times New Roman"/>
        <charset val="134"/>
      </rPr>
      <t xml:space="preserve"> 80020000022072710</t>
    </r>
  </si>
  <si>
    <t>Intermediary Bank:BANK OF CHINA GUANGDONG BRANCH</t>
  </si>
  <si>
    <t>SWIFT BIC:BKCHCNBJ400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</si>
</sst>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￥&quot;#,##0.00;&quot;￥&quot;\-#,##0.00"/>
    <numFmt numFmtId="165" formatCode="0.00_ "/>
  </numFmts>
  <fonts count="3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20"/>
      <name val="Arial Rounded MT Bold"/>
      <charset val="134"/>
    </font>
    <font>
      <b/>
      <sz val="14"/>
      <name val="Calibri"/>
      <charset val="134"/>
      <scheme val="minor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sz val="11"/>
      <name val="Calibri"/>
      <charset val="134"/>
    </font>
    <font>
      <b/>
      <sz val="16"/>
      <name val="Calibri"/>
      <charset val="134"/>
      <scheme val="minor"/>
    </font>
    <font>
      <b/>
      <u/>
      <sz val="18"/>
      <color theme="1"/>
      <name val="Times New Roman"/>
      <charset val="134"/>
    </font>
    <font>
      <b/>
      <u/>
      <sz val="18"/>
      <color theme="1"/>
      <name val="宋体"/>
      <charset val="134"/>
    </font>
    <font>
      <sz val="12"/>
      <name val="宋体"/>
      <charset val="134"/>
    </font>
    <font>
      <b/>
      <sz val="16"/>
      <name val="Times New Roman"/>
      <charset val="134"/>
    </font>
    <font>
      <b/>
      <u/>
      <sz val="16"/>
      <color theme="1"/>
      <name val="Times New Roman"/>
      <charset val="134"/>
    </font>
    <font>
      <b/>
      <sz val="16"/>
      <color theme="1"/>
      <name val="Times New Roman"/>
      <charset val="134"/>
    </font>
    <font>
      <sz val="10"/>
      <name val="Arial"/>
      <charset val="134"/>
    </font>
    <font>
      <b/>
      <sz val="16"/>
      <name val="Cambria"/>
      <charset val="134"/>
    </font>
    <font>
      <b/>
      <sz val="12"/>
      <color theme="1"/>
      <name val="Times New Roman"/>
      <charset val="134"/>
    </font>
    <font>
      <b/>
      <sz val="9"/>
      <name val="Arial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charset val="134"/>
    </font>
    <font>
      <b/>
      <sz val="2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6"/>
      <color rgb="FF1102CF"/>
      <name val="Calibri"/>
      <charset val="134"/>
      <scheme val="minor"/>
    </font>
    <font>
      <b/>
      <sz val="10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FF0000"/>
      <name val="宋体"/>
      <charset val="134"/>
    </font>
    <font>
      <b/>
      <sz val="16"/>
      <color rgb="FFFF0000"/>
      <name val="Times New Roman"/>
      <charset val="134"/>
    </font>
    <font>
      <b/>
      <sz val="16"/>
      <color rgb="FFFF0000"/>
      <name val="宋体"/>
      <charset val="134"/>
    </font>
    <font>
      <b/>
      <sz val="14"/>
      <color rgb="FFFF000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top"/>
    </xf>
    <xf numFmtId="0" fontId="10" fillId="0" borderId="0"/>
    <xf numFmtId="0" fontId="14" fillId="0" borderId="0">
      <alignment vertical="center" wrapText="1"/>
    </xf>
    <xf numFmtId="0" fontId="10" fillId="0" borderId="0"/>
    <xf numFmtId="0" fontId="1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3" fillId="0" borderId="0" xfId="0" applyFont="1">
      <alignment vertical="center"/>
    </xf>
    <xf numFmtId="0" fontId="4" fillId="0" borderId="0" xfId="1" applyFont="1" applyAlignment="1"/>
    <xf numFmtId="0" fontId="5" fillId="0" borderId="0" xfId="1" applyFont="1" applyAlignment="1"/>
    <xf numFmtId="0" fontId="6" fillId="0" borderId="0" xfId="1" applyFont="1" applyAlignment="1" applyProtection="1">
      <alignment horizontal="center" vertical="top"/>
      <protection locked="0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0" fontId="11" fillId="0" borderId="0" xfId="2" applyFont="1" applyAlignment="1">
      <alignment vertical="center"/>
    </xf>
    <xf numFmtId="14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14" fontId="15" fillId="0" borderId="0" xfId="3" applyNumberFormat="1" applyFont="1" applyAlignment="1">
      <alignment horizontal="left" vertical="center"/>
    </xf>
    <xf numFmtId="14" fontId="12" fillId="0" borderId="0" xfId="0" applyNumberFormat="1" applyFont="1" applyAlignment="1">
      <alignment vertical="center" wrapText="1"/>
    </xf>
    <xf numFmtId="0" fontId="5" fillId="0" borderId="0" xfId="2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164" fontId="17" fillId="0" borderId="0" xfId="4" applyNumberFormat="1" applyFont="1" applyAlignment="1">
      <alignment vertical="center"/>
    </xf>
    <xf numFmtId="0" fontId="5" fillId="0" borderId="0" xfId="2" applyFont="1" applyAlignment="1">
      <alignment vertical="center"/>
    </xf>
    <xf numFmtId="14" fontId="18" fillId="0" borderId="1" xfId="0" applyNumberFormat="1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0" fontId="22" fillId="2" borderId="2" xfId="5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7" fillId="0" borderId="0" xfId="0" applyFont="1" applyAlignment="1">
      <alignment horizontal="left" vertical="center" wrapText="1"/>
    </xf>
    <xf numFmtId="165" fontId="21" fillId="0" borderId="0" xfId="0" applyNumberFormat="1" applyFont="1">
      <alignment vertical="center"/>
    </xf>
    <xf numFmtId="0" fontId="28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30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2" fillId="0" borderId="0" xfId="0" applyFont="1">
      <alignment vertical="center"/>
    </xf>
  </cellXfs>
  <cellStyles count="6">
    <cellStyle name="Normal" xfId="0" builtinId="0"/>
    <cellStyle name="Normal 5" xfId="2" xr:uid="{535942F7-730C-4E72-B43A-646B85EF74DF}"/>
    <cellStyle name="Normal 7" xfId="1" xr:uid="{39BB3107-8AE5-472B-A4B7-572A55A62F1E}"/>
    <cellStyle name="常规 2" xfId="5" xr:uid="{385E8F7B-10C8-4CFB-A2AB-7882D896E696}"/>
    <cellStyle name="常规_Sheet1" xfId="3" xr:uid="{4CF22EFC-8A28-4C5E-8179-269C542D0C21}"/>
    <cellStyle name="常规_Sheet1_2" xfId="4" xr:uid="{9806D2C7-1040-4C57-BD27-7B8561504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8233-8D1E-45BE-972B-23D734E32720}">
  <sheetPr>
    <pageSetUpPr fitToPage="1"/>
  </sheetPr>
  <dimension ref="A1:Z29"/>
  <sheetViews>
    <sheetView tabSelected="1" zoomScale="70" zoomScaleNormal="70" workbookViewId="0">
      <selection activeCell="A13" sqref="A13:T13"/>
    </sheetView>
  </sheetViews>
  <sheetFormatPr defaultColWidth="9" defaultRowHeight="41.1" customHeight="1"/>
  <cols>
    <col min="1" max="1" width="7.85546875" style="6" customWidth="1"/>
    <col min="2" max="2" width="25.85546875" style="7" customWidth="1"/>
    <col min="3" max="3" width="20.5703125" style="8" customWidth="1"/>
    <col min="4" max="4" width="13.42578125" style="8" customWidth="1"/>
    <col min="5" max="5" width="21.85546875" style="9" customWidth="1"/>
    <col min="6" max="6" width="18.85546875" style="10" customWidth="1"/>
    <col min="7" max="9" width="7.7109375" style="2" customWidth="1"/>
    <col min="10" max="10" width="8.140625" style="2" customWidth="1"/>
    <col min="11" max="11" width="9.28515625" style="2" customWidth="1"/>
    <col min="12" max="12" width="13" style="11" customWidth="1"/>
    <col min="13" max="13" width="13.85546875" style="2" customWidth="1"/>
    <col min="14" max="14" width="17.42578125" style="2" customWidth="1"/>
    <col min="15" max="15" width="11.5703125" style="2" customWidth="1"/>
    <col min="16" max="16" width="9" style="2" customWidth="1"/>
    <col min="17" max="17" width="14.140625" style="2" customWidth="1"/>
    <col min="18" max="18" width="9.5703125" style="2" customWidth="1"/>
    <col min="19" max="19" width="15.28515625" style="2" customWidth="1"/>
    <col min="20" max="20" width="40.7109375" style="2" customWidth="1"/>
    <col min="21" max="16384" width="9" style="2"/>
  </cols>
  <sheetData>
    <row r="1" spans="1:26" ht="30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6" ht="18.75">
      <c r="A2" s="3" t="s">
        <v>1</v>
      </c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4"/>
    </row>
    <row r="3" spans="1:26" ht="18.7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</row>
    <row r="4" spans="1:26" ht="12" customHeight="1"/>
    <row r="5" spans="1:26" ht="22.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13"/>
      <c r="W5" s="13"/>
      <c r="X5" s="13"/>
      <c r="Y5" s="13"/>
      <c r="Z5" s="13"/>
    </row>
    <row r="6" spans="1:26" ht="12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3"/>
      <c r="V6" s="13"/>
      <c r="W6" s="13"/>
      <c r="X6" s="13"/>
      <c r="Y6" s="13"/>
      <c r="Z6" s="13"/>
    </row>
    <row r="7" spans="1:26" s="11" customFormat="1" ht="18.95" customHeight="1">
      <c r="A7" s="15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O7" s="16"/>
      <c r="P7" s="16"/>
      <c r="Q7" s="16"/>
      <c r="R7" s="16"/>
      <c r="S7" s="17" t="s">
        <v>5</v>
      </c>
      <c r="T7" s="18">
        <v>46279</v>
      </c>
      <c r="U7" s="19"/>
      <c r="V7" s="19"/>
      <c r="W7" s="19"/>
      <c r="X7" s="19"/>
      <c r="Y7" s="19"/>
      <c r="Z7" s="19"/>
    </row>
    <row r="8" spans="1:26" ht="18" customHeight="1">
      <c r="A8" s="2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O8" s="14"/>
      <c r="P8" s="14"/>
      <c r="Q8" s="14"/>
      <c r="R8" s="14"/>
      <c r="S8" s="21" t="s">
        <v>7</v>
      </c>
      <c r="T8" s="22"/>
      <c r="U8" s="13"/>
      <c r="V8" s="13"/>
      <c r="W8" s="13"/>
      <c r="X8" s="13"/>
      <c r="Y8" s="13"/>
      <c r="Z8" s="13"/>
    </row>
    <row r="9" spans="1:26" ht="22.5">
      <c r="A9" s="20" t="s">
        <v>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3"/>
      <c r="V9" s="13"/>
      <c r="W9" s="13"/>
      <c r="X9" s="13"/>
      <c r="Y9" s="13"/>
      <c r="Z9" s="13"/>
    </row>
    <row r="10" spans="1:26" ht="22.5">
      <c r="A10" s="20" t="s">
        <v>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3"/>
      <c r="V10" s="13"/>
      <c r="W10" s="13"/>
      <c r="X10" s="13"/>
      <c r="Y10" s="13"/>
      <c r="Z10" s="13"/>
    </row>
    <row r="11" spans="1:26" ht="22.5">
      <c r="A11" s="23" t="s">
        <v>10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3"/>
      <c r="V11" s="13"/>
      <c r="W11" s="13"/>
      <c r="X11" s="13"/>
      <c r="Y11" s="13"/>
      <c r="Z11" s="13"/>
    </row>
    <row r="12" spans="1:26" ht="9" customHeight="1">
      <c r="A12" s="2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3"/>
      <c r="V12" s="13"/>
      <c r="W12" s="13"/>
      <c r="X12" s="13"/>
      <c r="Y12" s="13"/>
      <c r="Z12" s="13"/>
    </row>
    <row r="13" spans="1:26" ht="22.5">
      <c r="A13" s="24" t="s">
        <v>11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13"/>
      <c r="V13" s="13"/>
      <c r="W13" s="13"/>
      <c r="X13" s="13"/>
      <c r="Y13" s="13"/>
      <c r="Z13" s="13"/>
    </row>
    <row r="14" spans="1:26" ht="36" customHeight="1">
      <c r="A14" s="26" t="s">
        <v>12</v>
      </c>
      <c r="B14" s="27"/>
      <c r="C14" s="27"/>
      <c r="D14" s="27"/>
      <c r="E14" s="27"/>
      <c r="F14" s="28"/>
      <c r="G14" s="28"/>
      <c r="H14" s="28"/>
      <c r="I14" s="28"/>
      <c r="J14" s="28"/>
      <c r="K14" s="28"/>
      <c r="L14" s="28"/>
      <c r="M14" s="29"/>
      <c r="N14" s="29"/>
      <c r="O14" s="29"/>
      <c r="P14" s="29"/>
      <c r="Q14" s="29"/>
      <c r="R14" s="29"/>
      <c r="S14" s="29"/>
      <c r="T14" s="27"/>
    </row>
    <row r="15" spans="1:26" s="34" customFormat="1" ht="50.1" customHeight="1">
      <c r="A15" s="30" t="s">
        <v>13</v>
      </c>
      <c r="B15" s="30" t="s">
        <v>14</v>
      </c>
      <c r="C15" s="30" t="s">
        <v>15</v>
      </c>
      <c r="D15" s="30" t="s">
        <v>16</v>
      </c>
      <c r="E15" s="30" t="s">
        <v>17</v>
      </c>
      <c r="F15" s="31" t="s">
        <v>18</v>
      </c>
      <c r="G15" s="32" t="s">
        <v>19</v>
      </c>
      <c r="H15" s="32"/>
      <c r="I15" s="32"/>
      <c r="J15" s="30" t="s">
        <v>20</v>
      </c>
      <c r="K15" s="30" t="s">
        <v>21</v>
      </c>
      <c r="L15" s="30" t="s">
        <v>22</v>
      </c>
      <c r="M15" s="33" t="s">
        <v>23</v>
      </c>
      <c r="N15" s="33" t="s">
        <v>24</v>
      </c>
      <c r="O15" s="33" t="s">
        <v>25</v>
      </c>
      <c r="P15" s="33" t="s">
        <v>26</v>
      </c>
      <c r="Q15" s="33" t="s">
        <v>27</v>
      </c>
      <c r="R15" s="33" t="s">
        <v>28</v>
      </c>
      <c r="S15" s="33" t="s">
        <v>29</v>
      </c>
      <c r="T15" s="30" t="s">
        <v>30</v>
      </c>
    </row>
    <row r="16" spans="1:26" s="34" customFormat="1" ht="33.950000000000003" customHeight="1">
      <c r="A16" s="35">
        <v>1</v>
      </c>
      <c r="B16" s="36" t="s">
        <v>31</v>
      </c>
      <c r="C16" s="37" t="s">
        <v>32</v>
      </c>
      <c r="D16" s="36" t="s">
        <v>33</v>
      </c>
      <c r="E16" s="38" t="s">
        <v>34</v>
      </c>
      <c r="F16" s="37" t="s">
        <v>35</v>
      </c>
      <c r="G16" s="39">
        <v>1</v>
      </c>
      <c r="H16" s="39">
        <v>0.6</v>
      </c>
      <c r="I16" s="39">
        <v>2.35</v>
      </c>
      <c r="J16" s="40">
        <v>68</v>
      </c>
      <c r="K16" s="40">
        <v>15</v>
      </c>
      <c r="L16" s="41">
        <f t="shared" ref="L16:L18" si="0">J16*K16</f>
        <v>1020</v>
      </c>
      <c r="M16" s="42">
        <v>143</v>
      </c>
      <c r="N16" s="42">
        <f t="shared" ref="N16:N19" si="1">L16*M16</f>
        <v>145860</v>
      </c>
      <c r="O16" s="43">
        <f>G16*H16*I16*K16+15</f>
        <v>36.15</v>
      </c>
      <c r="P16" s="35">
        <v>4.0999999999999996</v>
      </c>
      <c r="Q16" s="44">
        <f t="shared" ref="Q16:Q19" si="2">P16*L16</f>
        <v>4182</v>
      </c>
      <c r="R16" s="35">
        <v>367.1</v>
      </c>
      <c r="S16" s="44">
        <f t="shared" ref="S16:S19" si="3">R16*K16</f>
        <v>5506.5</v>
      </c>
      <c r="T16" s="45" t="s">
        <v>36</v>
      </c>
    </row>
    <row r="17" spans="1:20" s="34" customFormat="1" ht="33.950000000000003" customHeight="1">
      <c r="A17" s="35">
        <v>2</v>
      </c>
      <c r="B17" s="45" t="s">
        <v>37</v>
      </c>
      <c r="C17" s="45" t="s">
        <v>38</v>
      </c>
      <c r="D17" s="36" t="s">
        <v>33</v>
      </c>
      <c r="E17" s="46" t="s">
        <v>39</v>
      </c>
      <c r="F17" s="37" t="s">
        <v>40</v>
      </c>
      <c r="G17" s="47">
        <v>0.72</v>
      </c>
      <c r="H17" s="47">
        <v>0.54</v>
      </c>
      <c r="I17" s="47">
        <v>0.31</v>
      </c>
      <c r="J17" s="48">
        <v>1</v>
      </c>
      <c r="K17" s="48">
        <v>54</v>
      </c>
      <c r="L17" s="41">
        <f t="shared" si="0"/>
        <v>54</v>
      </c>
      <c r="M17" s="49">
        <v>335</v>
      </c>
      <c r="N17" s="42">
        <f t="shared" si="1"/>
        <v>18090</v>
      </c>
      <c r="O17" s="43">
        <f t="shared" ref="O17:O19" si="4">G17*H17*I17*K17</f>
        <v>6.5085120000000005</v>
      </c>
      <c r="P17" s="50">
        <v>5.9</v>
      </c>
      <c r="Q17" s="44">
        <f t="shared" si="2"/>
        <v>318.60000000000002</v>
      </c>
      <c r="R17" s="50">
        <f>12.06</f>
        <v>12.06</v>
      </c>
      <c r="S17" s="44">
        <f t="shared" si="3"/>
        <v>651.24</v>
      </c>
      <c r="T17" s="51" t="s">
        <v>41</v>
      </c>
    </row>
    <row r="18" spans="1:20" s="34" customFormat="1" ht="33.950000000000003" customHeight="1">
      <c r="A18" s="35">
        <v>3</v>
      </c>
      <c r="B18" s="45" t="s">
        <v>42</v>
      </c>
      <c r="C18" s="45" t="s">
        <v>38</v>
      </c>
      <c r="D18" s="36" t="s">
        <v>33</v>
      </c>
      <c r="E18" s="46" t="s">
        <v>43</v>
      </c>
      <c r="F18" s="37" t="s">
        <v>44</v>
      </c>
      <c r="G18" s="47">
        <v>0.87</v>
      </c>
      <c r="H18" s="47">
        <v>0.54</v>
      </c>
      <c r="I18" s="47">
        <v>0.31</v>
      </c>
      <c r="J18" s="48">
        <v>1</v>
      </c>
      <c r="K18" s="48">
        <v>185</v>
      </c>
      <c r="L18" s="41">
        <f t="shared" si="0"/>
        <v>185</v>
      </c>
      <c r="M18" s="49">
        <v>300</v>
      </c>
      <c r="N18" s="42">
        <f t="shared" si="1"/>
        <v>55500</v>
      </c>
      <c r="O18" s="43">
        <f t="shared" si="4"/>
        <v>26.943030000000004</v>
      </c>
      <c r="P18" s="47">
        <v>7.8</v>
      </c>
      <c r="Q18" s="44">
        <f t="shared" si="2"/>
        <v>1443</v>
      </c>
      <c r="R18" s="47">
        <f>13.41</f>
        <v>13.41</v>
      </c>
      <c r="S18" s="44">
        <f t="shared" si="3"/>
        <v>2480.85</v>
      </c>
      <c r="T18" s="36" t="s">
        <v>45</v>
      </c>
    </row>
    <row r="19" spans="1:20" s="34" customFormat="1" ht="33.950000000000003" customHeight="1">
      <c r="A19" s="35">
        <v>4</v>
      </c>
      <c r="B19" s="45" t="s">
        <v>46</v>
      </c>
      <c r="C19" s="45" t="s">
        <v>38</v>
      </c>
      <c r="D19" s="45" t="s">
        <v>33</v>
      </c>
      <c r="E19" s="38" t="s">
        <v>47</v>
      </c>
      <c r="F19" s="52" t="s">
        <v>44</v>
      </c>
      <c r="G19" s="44">
        <v>0.88</v>
      </c>
      <c r="H19" s="44">
        <v>0.54</v>
      </c>
      <c r="I19" s="44">
        <v>0.31</v>
      </c>
      <c r="J19" s="41">
        <v>1</v>
      </c>
      <c r="K19" s="41">
        <v>3</v>
      </c>
      <c r="L19" s="41">
        <f>K19*J19</f>
        <v>3</v>
      </c>
      <c r="M19" s="49">
        <v>280</v>
      </c>
      <c r="N19" s="42">
        <f t="shared" si="1"/>
        <v>840</v>
      </c>
      <c r="O19" s="43">
        <f t="shared" si="4"/>
        <v>0.441936</v>
      </c>
      <c r="P19" s="53">
        <v>7.8</v>
      </c>
      <c r="Q19" s="54">
        <f t="shared" si="2"/>
        <v>23.4</v>
      </c>
      <c r="R19" s="53">
        <f>13.41</f>
        <v>13.41</v>
      </c>
      <c r="S19" s="54">
        <f t="shared" si="3"/>
        <v>40.230000000000004</v>
      </c>
      <c r="T19" s="55" t="s">
        <v>48</v>
      </c>
    </row>
    <row r="20" spans="1:20" s="60" customFormat="1" ht="42" customHeight="1">
      <c r="A20" s="56" t="s">
        <v>49</v>
      </c>
      <c r="B20" s="56"/>
      <c r="C20" s="56"/>
      <c r="D20" s="57"/>
      <c r="E20" s="57"/>
      <c r="F20" s="58"/>
      <c r="G20" s="58"/>
      <c r="H20" s="58"/>
      <c r="I20" s="58"/>
      <c r="J20" s="57"/>
      <c r="K20" s="57">
        <f>SUM(K16:K19)</f>
        <v>257</v>
      </c>
      <c r="L20" s="57">
        <f>SUM(L16:L19)</f>
        <v>1262</v>
      </c>
      <c r="M20" s="57"/>
      <c r="N20" s="57">
        <f>SUM(N16:N19)</f>
        <v>220290</v>
      </c>
      <c r="O20" s="59">
        <f>SUM(O16:O19)</f>
        <v>70.043478000000007</v>
      </c>
      <c r="P20" s="57"/>
      <c r="Q20" s="57">
        <f>SUM(Q16:Q19)</f>
        <v>5967</v>
      </c>
      <c r="R20" s="57"/>
      <c r="S20" s="57">
        <f>SUM(S16:S19)</f>
        <v>8678.82</v>
      </c>
      <c r="T20" s="57"/>
    </row>
    <row r="21" spans="1:20" ht="26.1" customHeight="1">
      <c r="A21" s="61" t="s">
        <v>50</v>
      </c>
      <c r="B21" s="62"/>
      <c r="C21" s="62"/>
      <c r="D21" s="63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65"/>
      <c r="T21" s="65"/>
    </row>
    <row r="22" spans="1:20" ht="26.1" customHeight="1">
      <c r="A22" s="66" t="s">
        <v>51</v>
      </c>
      <c r="B22" s="66"/>
      <c r="C22" s="66"/>
      <c r="D22" s="66"/>
      <c r="E22" s="66"/>
      <c r="F22" s="66"/>
      <c r="G22" s="66"/>
      <c r="H22" s="66"/>
      <c r="I22" s="66"/>
      <c r="J22" s="66"/>
      <c r="K22" s="65"/>
      <c r="L22" s="65"/>
      <c r="M22" s="65"/>
      <c r="N22" s="65"/>
      <c r="O22" s="67"/>
      <c r="P22" s="65"/>
      <c r="Q22" s="65"/>
      <c r="R22" s="65"/>
      <c r="S22" s="65"/>
      <c r="T22" s="65"/>
    </row>
    <row r="23" spans="1:20" ht="26.1" customHeight="1">
      <c r="A23" s="68" t="s">
        <v>52</v>
      </c>
      <c r="B23" s="62"/>
      <c r="C23" s="62"/>
      <c r="D23" s="63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9"/>
      <c r="P23" s="69"/>
      <c r="Q23" s="65"/>
      <c r="R23" s="65"/>
      <c r="S23" s="65"/>
      <c r="T23" s="65"/>
    </row>
    <row r="24" spans="1:20" ht="26.1" customHeight="1">
      <c r="A24" s="70" t="s">
        <v>53</v>
      </c>
      <c r="B24" s="70"/>
      <c r="C24" s="70"/>
      <c r="D24" s="70"/>
      <c r="E24" s="70"/>
      <c r="F24" s="70"/>
      <c r="G24" s="70"/>
      <c r="H24" s="70"/>
      <c r="I24" s="64"/>
      <c r="J24" s="64"/>
      <c r="K24" s="65"/>
      <c r="L24" s="65"/>
      <c r="M24" s="65"/>
      <c r="N24" s="65"/>
      <c r="O24" s="69"/>
      <c r="P24" s="69"/>
      <c r="Q24" s="65"/>
      <c r="R24" s="65"/>
      <c r="S24" s="65"/>
      <c r="T24" s="65"/>
    </row>
    <row r="25" spans="1:20" ht="26.1" customHeight="1">
      <c r="A25" s="70" t="s">
        <v>54</v>
      </c>
      <c r="B25" s="70"/>
      <c r="C25" s="70"/>
      <c r="D25" s="70"/>
      <c r="E25" s="70"/>
      <c r="F25" s="70"/>
      <c r="G25" s="70"/>
      <c r="H25" s="70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65"/>
      <c r="T25" s="65"/>
    </row>
    <row r="26" spans="1:20" ht="26.1" customHeight="1">
      <c r="A26" s="71" t="s">
        <v>55</v>
      </c>
      <c r="B26" s="72"/>
      <c r="C26" s="72"/>
      <c r="D26" s="73" t="s">
        <v>56</v>
      </c>
      <c r="E26" s="74"/>
      <c r="F26" s="7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65"/>
      <c r="T26" s="65"/>
    </row>
    <row r="27" spans="1:20" ht="26.1" customHeight="1">
      <c r="A27" s="75"/>
      <c r="B27" s="62"/>
      <c r="C27" s="62"/>
      <c r="D27" s="76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</row>
    <row r="28" spans="1:20" ht="26.1" customHeight="1">
      <c r="A28" s="62" t="s">
        <v>57</v>
      </c>
      <c r="B28" s="62"/>
      <c r="C28" s="62"/>
      <c r="D28" s="63"/>
      <c r="E28" s="64"/>
      <c r="F28" s="64"/>
      <c r="G28" s="64"/>
      <c r="H28" s="64"/>
      <c r="I28" s="64"/>
      <c r="J28" s="64"/>
    </row>
    <row r="29" spans="1:20" ht="26.1" customHeight="1">
      <c r="A29" s="62" t="s">
        <v>58</v>
      </c>
      <c r="B29" s="62"/>
      <c r="C29" s="62"/>
      <c r="D29" s="62"/>
      <c r="E29" s="62"/>
      <c r="F29" s="62"/>
      <c r="G29" s="62"/>
      <c r="H29" s="62"/>
      <c r="I29" s="62"/>
      <c r="J29" s="62"/>
    </row>
  </sheetData>
  <mergeCells count="9">
    <mergeCell ref="O23:P24"/>
    <mergeCell ref="A24:H24"/>
    <mergeCell ref="A25:H25"/>
    <mergeCell ref="A5:T5"/>
    <mergeCell ref="A13:T13"/>
    <mergeCell ref="A14:T14"/>
    <mergeCell ref="G15:I15"/>
    <mergeCell ref="A20:C20"/>
    <mergeCell ref="A22:J22"/>
  </mergeCells>
  <printOptions horizontalCentered="1"/>
  <pageMargins left="0" right="0" top="0.59055118110236227" bottom="0.19685039370078741" header="0.51181102362204722" footer="0.51181102362204722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t407</dc:creator>
  <cp:lastModifiedBy>t407</cp:lastModifiedBy>
  <dcterms:created xsi:type="dcterms:W3CDTF">2026-09-23T01:54:34Z</dcterms:created>
  <dcterms:modified xsi:type="dcterms:W3CDTF">2026-09-23T01:54:43Z</dcterms:modified>
</cp:coreProperties>
</file>