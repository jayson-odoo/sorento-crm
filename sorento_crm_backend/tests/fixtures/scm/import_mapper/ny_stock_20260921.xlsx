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407\Desktop\"/>
    </mc:Choice>
  </mc:AlternateContent>
  <xr:revisionPtr revIDLastSave="0" documentId="13_ncr:1_{8EB08F22-2440-4495-B285-1C0C3F5D8E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成品库存" sheetId="1" r:id="rId1"/>
  </sheets>
  <definedNames>
    <definedName name="_xlnm._FilterDatabase" localSheetId="0" hidden="1">成品库存!$A$1:$V$50</definedName>
    <definedName name="_xlnm.Print_Area" localSheetId="0">成品库存!$A$1:$T$47</definedName>
  </definedNames>
  <calcPr calcId="181029"/>
</workbook>
</file>

<file path=xl/calcChain.xml><?xml version="1.0" encoding="utf-8"?>
<calcChain xmlns="http://schemas.openxmlformats.org/spreadsheetml/2006/main">
  <c r="S46" i="1" l="1"/>
  <c r="O46" i="1"/>
  <c r="L46" i="1"/>
  <c r="Q46" i="1" s="1"/>
  <c r="S45" i="1"/>
  <c r="O45" i="1"/>
  <c r="L45" i="1"/>
  <c r="Q45" i="1" s="1"/>
  <c r="S44" i="1"/>
  <c r="Q44" i="1"/>
  <c r="O44" i="1"/>
  <c r="N44" i="1"/>
  <c r="L44" i="1"/>
  <c r="S43" i="1"/>
  <c r="O43" i="1"/>
  <c r="L43" i="1"/>
  <c r="N43" i="1" s="1"/>
  <c r="S42" i="1"/>
  <c r="Q42" i="1"/>
  <c r="O42" i="1"/>
  <c r="N42" i="1"/>
  <c r="L42" i="1"/>
  <c r="S41" i="1"/>
  <c r="O41" i="1"/>
  <c r="L41" i="1"/>
  <c r="Q41" i="1" s="1"/>
  <c r="S40" i="1"/>
  <c r="Q40" i="1"/>
  <c r="O40" i="1"/>
  <c r="N40" i="1"/>
  <c r="L40" i="1"/>
  <c r="S39" i="1"/>
  <c r="O39" i="1"/>
  <c r="L39" i="1"/>
  <c r="N39" i="1" s="1"/>
  <c r="S38" i="1"/>
  <c r="Q38" i="1"/>
  <c r="O38" i="1"/>
  <c r="N38" i="1"/>
  <c r="L38" i="1"/>
  <c r="S37" i="1"/>
  <c r="O37" i="1"/>
  <c r="L37" i="1"/>
  <c r="Q37" i="1" s="1"/>
  <c r="K37" i="1"/>
  <c r="S36" i="1"/>
  <c r="O36" i="1"/>
  <c r="L36" i="1"/>
  <c r="N36" i="1" s="1"/>
  <c r="S35" i="1"/>
  <c r="Q35" i="1"/>
  <c r="O35" i="1"/>
  <c r="N35" i="1"/>
  <c r="L35" i="1"/>
  <c r="S34" i="1"/>
  <c r="O34" i="1"/>
  <c r="L34" i="1"/>
  <c r="Q34" i="1" s="1"/>
  <c r="S33" i="1"/>
  <c r="Q33" i="1"/>
  <c r="O33" i="1"/>
  <c r="N33" i="1"/>
  <c r="L33" i="1"/>
  <c r="S32" i="1"/>
  <c r="O32" i="1"/>
  <c r="L32" i="1"/>
  <c r="N32" i="1" s="1"/>
  <c r="K32" i="1"/>
  <c r="K47" i="1" s="1"/>
  <c r="S31" i="1"/>
  <c r="O31" i="1"/>
  <c r="L31" i="1"/>
  <c r="Q31" i="1" s="1"/>
  <c r="R30" i="1"/>
  <c r="S30" i="1" s="1"/>
  <c r="O30" i="1"/>
  <c r="L30" i="1"/>
  <c r="N30" i="1" s="1"/>
  <c r="R29" i="1"/>
  <c r="S29" i="1" s="1"/>
  <c r="O29" i="1"/>
  <c r="L29" i="1"/>
  <c r="Q29" i="1" s="1"/>
  <c r="S28" i="1"/>
  <c r="Q28" i="1"/>
  <c r="O28" i="1"/>
  <c r="N28" i="1"/>
  <c r="L28" i="1"/>
  <c r="S27" i="1"/>
  <c r="O27" i="1"/>
  <c r="L27" i="1"/>
  <c r="N27" i="1" s="1"/>
  <c r="S26" i="1"/>
  <c r="Q26" i="1"/>
  <c r="O26" i="1"/>
  <c r="N26" i="1"/>
  <c r="L26" i="1"/>
  <c r="S25" i="1"/>
  <c r="O25" i="1"/>
  <c r="L25" i="1"/>
  <c r="Q25" i="1" s="1"/>
  <c r="S24" i="1"/>
  <c r="Q24" i="1"/>
  <c r="O24" i="1"/>
  <c r="N24" i="1"/>
  <c r="L24" i="1"/>
  <c r="S23" i="1"/>
  <c r="O23" i="1"/>
  <c r="L23" i="1"/>
  <c r="N23" i="1" s="1"/>
  <c r="R22" i="1"/>
  <c r="S22" i="1" s="1"/>
  <c r="O22" i="1"/>
  <c r="L22" i="1"/>
  <c r="Q22" i="1" s="1"/>
  <c r="R21" i="1"/>
  <c r="S21" i="1" s="1"/>
  <c r="O21" i="1"/>
  <c r="L21" i="1"/>
  <c r="N21" i="1" s="1"/>
  <c r="R20" i="1"/>
  <c r="S20" i="1" s="1"/>
  <c r="O20" i="1"/>
  <c r="L20" i="1"/>
  <c r="Q20" i="1" s="1"/>
  <c r="R19" i="1"/>
  <c r="S19" i="1" s="1"/>
  <c r="O19" i="1"/>
  <c r="L19" i="1"/>
  <c r="N19" i="1" s="1"/>
  <c r="S18" i="1"/>
  <c r="Q18" i="1"/>
  <c r="O18" i="1"/>
  <c r="N18" i="1"/>
  <c r="L18" i="1"/>
  <c r="S17" i="1"/>
  <c r="O17" i="1"/>
  <c r="L17" i="1"/>
  <c r="Q17" i="1" s="1"/>
  <c r="S16" i="1"/>
  <c r="Q16" i="1"/>
  <c r="O16" i="1"/>
  <c r="N16" i="1"/>
  <c r="L16" i="1"/>
  <c r="S15" i="1"/>
  <c r="O15" i="1"/>
  <c r="L15" i="1"/>
  <c r="N15" i="1" s="1"/>
  <c r="S14" i="1"/>
  <c r="Q14" i="1"/>
  <c r="O14" i="1"/>
  <c r="N14" i="1"/>
  <c r="L14" i="1"/>
  <c r="S13" i="1"/>
  <c r="O13" i="1"/>
  <c r="L13" i="1"/>
  <c r="Q13" i="1" s="1"/>
  <c r="S12" i="1"/>
  <c r="Q12" i="1"/>
  <c r="O12" i="1"/>
  <c r="N12" i="1"/>
  <c r="L12" i="1"/>
  <c r="S11" i="1"/>
  <c r="O11" i="1"/>
  <c r="L11" i="1"/>
  <c r="N11" i="1" s="1"/>
  <c r="S10" i="1"/>
  <c r="Q10" i="1"/>
  <c r="O10" i="1"/>
  <c r="N10" i="1"/>
  <c r="L10" i="1"/>
  <c r="S9" i="1"/>
  <c r="O9" i="1"/>
  <c r="L9" i="1"/>
  <c r="Q9" i="1" s="1"/>
  <c r="S8" i="1"/>
  <c r="Q8" i="1"/>
  <c r="O8" i="1"/>
  <c r="N8" i="1"/>
  <c r="L8" i="1"/>
  <c r="S7" i="1"/>
  <c r="O7" i="1"/>
  <c r="L7" i="1"/>
  <c r="N7" i="1" s="1"/>
  <c r="S6" i="1"/>
  <c r="Q6" i="1"/>
  <c r="O6" i="1"/>
  <c r="N6" i="1"/>
  <c r="L6" i="1"/>
  <c r="S5" i="1"/>
  <c r="O5" i="1"/>
  <c r="L5" i="1"/>
  <c r="Q5" i="1" s="1"/>
  <c r="S4" i="1"/>
  <c r="Q4" i="1"/>
  <c r="O4" i="1"/>
  <c r="N4" i="1"/>
  <c r="L4" i="1"/>
  <c r="S3" i="1"/>
  <c r="O3" i="1"/>
  <c r="O47" i="1" s="1"/>
  <c r="O50" i="1" s="1"/>
  <c r="L3" i="1"/>
  <c r="L47" i="1" s="1"/>
  <c r="S47" i="1" l="1"/>
  <c r="Q3" i="1"/>
  <c r="N5" i="1"/>
  <c r="Q7" i="1"/>
  <c r="N9" i="1"/>
  <c r="Q11" i="1"/>
  <c r="N13" i="1"/>
  <c r="Q15" i="1"/>
  <c r="N17" i="1"/>
  <c r="Q19" i="1"/>
  <c r="N20" i="1"/>
  <c r="Q21" i="1"/>
  <c r="N22" i="1"/>
  <c r="Q23" i="1"/>
  <c r="N25" i="1"/>
  <c r="Q27" i="1"/>
  <c r="N29" i="1"/>
  <c r="Q30" i="1"/>
  <c r="N31" i="1"/>
  <c r="Q32" i="1"/>
  <c r="N34" i="1"/>
  <c r="Q36" i="1"/>
  <c r="N37" i="1"/>
  <c r="Q39" i="1"/>
  <c r="N41" i="1"/>
  <c r="Q43" i="1"/>
  <c r="N45" i="1"/>
  <c r="N46" i="1"/>
  <c r="N3" i="1"/>
  <c r="N47" i="1" s="1"/>
  <c r="Q47" i="1" l="1"/>
</calcChain>
</file>

<file path=xl/sharedStrings.xml><?xml version="1.0" encoding="utf-8"?>
<sst xmlns="http://schemas.openxmlformats.org/spreadsheetml/2006/main" count="372" uniqueCount="169">
  <si>
    <t xml:space="preserve">              M01大吕生（成品库存明细）       2026年09月21日更新  （约7柜多）</t>
  </si>
  <si>
    <t>序号</t>
  </si>
  <si>
    <t>工厂型号</t>
  </si>
  <si>
    <t>品名</t>
  </si>
  <si>
    <t>唛头</t>
  </si>
  <si>
    <t>客户型号</t>
  </si>
  <si>
    <t>规格尺寸</t>
  </si>
  <si>
    <t>外箱/木托尺寸</t>
  </si>
  <si>
    <t>单箱  数量（个）</t>
  </si>
  <si>
    <t>件数（件）</t>
  </si>
  <si>
    <t>总数量（个）</t>
  </si>
  <si>
    <t>单价（元）</t>
  </si>
  <si>
    <t>金额（元）</t>
  </si>
  <si>
    <t>方数</t>
  </si>
  <si>
    <t>单个产品重量（KG)</t>
  </si>
  <si>
    <t>货物净重</t>
  </si>
  <si>
    <t>单箱/单板重量（KG）</t>
  </si>
  <si>
    <t>总重量（KG）</t>
  </si>
  <si>
    <t>备注</t>
  </si>
  <si>
    <t>10050圆砂</t>
  </si>
  <si>
    <t>不锈钢水槽</t>
  </si>
  <si>
    <t>无</t>
  </si>
  <si>
    <t>CKS1050</t>
  </si>
  <si>
    <t>1000*500*145</t>
  </si>
  <si>
    <t>纸箱包装/无商标/普通钢头CKSW015放箱内</t>
  </si>
  <si>
    <t>无菜板</t>
  </si>
  <si>
    <t>成品</t>
  </si>
  <si>
    <t>317磨砂/双盆</t>
  </si>
  <si>
    <t>Cabana</t>
  </si>
  <si>
    <t>CKS317</t>
  </si>
  <si>
    <t>880*480*250</t>
  </si>
  <si>
    <t>纸箱包装/Cabana商标/普通钢头CKSW015放箱内</t>
  </si>
  <si>
    <t>R25-4444磨砂</t>
  </si>
  <si>
    <t>Sorento</t>
  </si>
  <si>
    <t>SRTKS2405</t>
  </si>
  <si>
    <t>440*440*230</t>
  </si>
  <si>
    <t>纸箱包装/SORENTO商标/全钢内牙钢头SRTW304SS每箱内放1个</t>
  </si>
  <si>
    <t>9244磨砂（R25）</t>
  </si>
  <si>
    <t>SRTKS2408</t>
  </si>
  <si>
    <t>920*440*230</t>
  </si>
  <si>
    <t>纸箱包装/SORENTO商标/全钢内牙钢头SRTW304SS每箱内放2个</t>
  </si>
  <si>
    <t>813磨砂/单盆</t>
  </si>
  <si>
    <t>CKS813</t>
  </si>
  <si>
    <t>760*480*230</t>
  </si>
  <si>
    <t>819电解小米粒</t>
  </si>
  <si>
    <t>CKS821</t>
  </si>
  <si>
    <t>600*450*230</t>
  </si>
  <si>
    <t>纸箱包装/Cabana商标/普通钢头放箱内</t>
  </si>
  <si>
    <t>319电解小米粒双盆</t>
  </si>
  <si>
    <t>CKS319-NG</t>
  </si>
  <si>
    <t>800*480*220</t>
  </si>
  <si>
    <t>901电解小米粒</t>
  </si>
  <si>
    <t>CKS901-NG</t>
  </si>
  <si>
    <t>460*420*220</t>
  </si>
  <si>
    <t>806电解小米粒</t>
  </si>
  <si>
    <t>CKS806-NG</t>
  </si>
  <si>
    <t>500*450*220</t>
  </si>
  <si>
    <t>R25-6544单盆/黑色小米粒</t>
  </si>
  <si>
    <t>SRTKS2432-BL</t>
  </si>
  <si>
    <t>650*440*230</t>
  </si>
  <si>
    <t>纸箱包装/SORENTO商标/黑色钢头/沥水篮/菜板</t>
  </si>
  <si>
    <t>有菜板</t>
  </si>
  <si>
    <t>R25-5444单盆/原色小米粒</t>
  </si>
  <si>
    <t>SRTKS2433</t>
  </si>
  <si>
    <t>540*440*230</t>
  </si>
  <si>
    <t>纸箱包装/SORENTO商标/全钢内牙钢头/沥水篮</t>
  </si>
  <si>
    <t>R25-5444单盆/黑色小米粒</t>
  </si>
  <si>
    <t>SRTKS2433-BL</t>
  </si>
  <si>
    <t>纸箱包装/SORENTO商标/黑色钢头/沥水篮</t>
  </si>
  <si>
    <t>R25-7847台阶直角边/黑金刚压纹（小米粒）</t>
  </si>
  <si>
    <t>SRTKS2434-BL</t>
  </si>
  <si>
    <t>780*470*230</t>
  </si>
  <si>
    <t>纸箱包装/SORENTO商标/304黑色钢头/菜板/沥水篮</t>
  </si>
  <si>
    <t>8644双盆                   （厚面板拉丝）</t>
  </si>
  <si>
    <t>不锈钢手工水槽</t>
  </si>
  <si>
    <t>CKS7307</t>
  </si>
  <si>
    <t>860*440*220</t>
  </si>
  <si>
    <t>纸箱包装/Cabana商标/全钢内牙钢头2个放箱内</t>
  </si>
  <si>
    <t>8844手工盆                         （拉丝）</t>
  </si>
  <si>
    <t>CKS7308</t>
  </si>
  <si>
    <t>880*440*230</t>
  </si>
  <si>
    <t>7547单盆厚面板/压纹黑金刚     （新包装）</t>
  </si>
  <si>
    <t>SRTKS7547-BL-NEW</t>
  </si>
  <si>
    <t>750*470*250</t>
  </si>
  <si>
    <t>纸箱包装/SORENTO商标/黑色大杯钢头/挂钩/开孔板/沥水篮/菜板</t>
  </si>
  <si>
    <t>6047压纹黑金刚（新包装）</t>
  </si>
  <si>
    <t>SRTKS6047-BL-NEW</t>
  </si>
  <si>
    <t>600*470*250</t>
  </si>
  <si>
    <t>纸箱包装/SORENTO商标/大杯钢头/开孔板/沥水篮/菜板</t>
  </si>
  <si>
    <t>6047单盆厚面板/压纹原色纳米（新包装）</t>
  </si>
  <si>
    <t>SRTKS6047-NEW</t>
  </si>
  <si>
    <t>8047单盆厚面板/压纹原色纳米（新包装）</t>
  </si>
  <si>
    <t>SRTKS8047-NEW</t>
  </si>
  <si>
    <t>800*470*250</t>
  </si>
  <si>
    <t>纸箱包装/SORENTO商标/大杯钢头/挂钩/开孔板/沥水篮/菜板</t>
  </si>
  <si>
    <t>8047单盆厚面板/压纹黑金刚（新包装）</t>
  </si>
  <si>
    <t>SRTKS8047-BL-NEW</t>
  </si>
  <si>
    <t>6547厚面板单盆/压纹原色纳米（火山纹）</t>
  </si>
  <si>
    <t>SRTKS6547</t>
  </si>
  <si>
    <t>650*470*250</t>
  </si>
  <si>
    <t>6547厚面板单盆/压纹黑金刚（火山纹）</t>
  </si>
  <si>
    <t>SRTKS6547-BL</t>
  </si>
  <si>
    <t>7547厚面板单盆/压纹黑金刚（火山纹）</t>
  </si>
  <si>
    <t>SRTKS6647-BL</t>
  </si>
  <si>
    <t>6045小米粒单盆/黑色</t>
  </si>
  <si>
    <t>KS6045-BL-NL</t>
  </si>
  <si>
    <t>600*450*220</t>
  </si>
  <si>
    <t>木托板包装/无商标/201黑色小米粒钢头</t>
  </si>
  <si>
    <t>6045单盆/厚面板                 黑金刚/蜂窝</t>
  </si>
  <si>
    <t>SRTKS6245-BL</t>
  </si>
  <si>
    <t>纸箱包装/Sorento商标/201黑色全钢钢头/沥水篮</t>
  </si>
  <si>
    <t>7846台下单盆/黑金刚/火山纹</t>
  </si>
  <si>
    <t>SRTKS7846-BL</t>
  </si>
  <si>
    <t>780*460*230</t>
  </si>
  <si>
    <t>纸箱包装/Sorento商标/201黑色大杯钢头/开孔板/菜板/拉伸沥水篮/拉伸沥水盆</t>
  </si>
  <si>
    <t>R25-8054宽面板                            台阶单盆/原色小米粒</t>
  </si>
  <si>
    <t>SRTKS2435</t>
  </si>
  <si>
    <t>800*540*250</t>
  </si>
  <si>
    <t>纸箱包装/SORENTO商标/304全钢内牙钢头+下水管/开孔板/刀架/皂液器/菜板/沥水篮</t>
  </si>
  <si>
    <t>R25-8054宽面板                            台阶单盆/黑色小米粒</t>
  </si>
  <si>
    <t>SRTKS2435-BL</t>
  </si>
  <si>
    <t>纸箱包装/SORENTO商标/304黑色钢头+下水管/开孔板/刀架/皂液器/菜板/沥水篮</t>
  </si>
  <si>
    <t>10050钝化</t>
  </si>
  <si>
    <t>CKS1050-NEW</t>
  </si>
  <si>
    <t>4944台下单盆/ 磨砂</t>
  </si>
  <si>
    <t>MOCHA</t>
  </si>
  <si>
    <t>MAP4944A</t>
  </si>
  <si>
    <t>490*440*180</t>
  </si>
  <si>
    <t>纸箱包装/MOCHA商标/普通钢头放箱内</t>
  </si>
  <si>
    <t>803平面磨砂</t>
  </si>
  <si>
    <t>CKS4238</t>
  </si>
  <si>
    <t>420*380*200</t>
  </si>
  <si>
    <t>6047拉丝/304#材质</t>
  </si>
  <si>
    <t>SRTKS7061</t>
  </si>
  <si>
    <t>木托板包装/Sorento商标/全钢内牙钢头</t>
  </si>
  <si>
    <t>4640磨砂</t>
  </si>
  <si>
    <t>CKS4539</t>
  </si>
  <si>
    <t>460*400*190</t>
  </si>
  <si>
    <t>R25-4444单盆黑金刚</t>
  </si>
  <si>
    <t>SRTKS2425-BL</t>
  </si>
  <si>
    <t>5447压纹原色纳米</t>
  </si>
  <si>
    <t>SRTKS6041</t>
  </si>
  <si>
    <t>540*470*250</t>
  </si>
  <si>
    <t>纸箱包装/SORENTO商标/大杯钢头/开孔板/沥水篮</t>
  </si>
  <si>
    <t>5447压纹黑金刚</t>
  </si>
  <si>
    <t>SRTKS6042-BL</t>
  </si>
  <si>
    <t>7843磨砂</t>
  </si>
  <si>
    <t>CKS7843</t>
  </si>
  <si>
    <t>780*430*190</t>
  </si>
  <si>
    <t>319B薄光</t>
  </si>
  <si>
    <t>CKS8048</t>
  </si>
  <si>
    <t>800*480*185</t>
  </si>
  <si>
    <t>901磨砂/单盆(304#材质）</t>
  </si>
  <si>
    <t>CKS903</t>
  </si>
  <si>
    <t>R25-5444磨砂</t>
  </si>
  <si>
    <t>SRTKS2406</t>
  </si>
  <si>
    <t>木托包装/SORENTO商标/全钢内牙钢头SRTW304SS+纸箱单独配套上柜</t>
  </si>
  <si>
    <t>7545小米粒单盆/原色纳米</t>
  </si>
  <si>
    <t>KS7041-NL</t>
  </si>
  <si>
    <t>750*450*220</t>
  </si>
  <si>
    <t>木托板包装/无商标/201原色小米粒钢头</t>
  </si>
  <si>
    <t>7545小米粒单盆/黑金刚</t>
  </si>
  <si>
    <t>KS7041-BL-NL</t>
  </si>
  <si>
    <t>8045小米粒单盆/原色纳米</t>
  </si>
  <si>
    <t>KS8041-NL</t>
  </si>
  <si>
    <t>800*450*220</t>
  </si>
  <si>
    <t>8045小米粒单盆/黑金刚</t>
  </si>
  <si>
    <t>KS8041-BL-NL</t>
  </si>
  <si>
    <t>总计：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</si>
</sst>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￥&quot;#,##0.00;&quot;￥&quot;\-#,##0.00"/>
    <numFmt numFmtId="165" formatCode="0.00_ "/>
    <numFmt numFmtId="166" formatCode="0_ "/>
  </numFmts>
  <fonts count="37">
    <font>
      <sz val="11"/>
      <color theme="1"/>
      <name val="Calibri"/>
      <charset val="134"/>
      <scheme val="minor"/>
    </font>
    <font>
      <sz val="16"/>
      <name val="微软雅黑"/>
      <charset val="134"/>
    </font>
    <font>
      <b/>
      <sz val="16"/>
      <color rgb="FFFF0000"/>
      <name val="Calibri"/>
      <charset val="134"/>
      <scheme val="minor"/>
    </font>
    <font>
      <b/>
      <sz val="16"/>
      <name val="Calibri"/>
      <charset val="134"/>
      <scheme val="minor"/>
    </font>
    <font>
      <b/>
      <sz val="18"/>
      <name val="Calibri"/>
      <charset val="134"/>
      <scheme val="minor"/>
    </font>
    <font>
      <b/>
      <sz val="12"/>
      <name val="Calibri"/>
      <charset val="134"/>
      <scheme val="minor"/>
    </font>
    <font>
      <sz val="16"/>
      <name val="Calibri"/>
      <charset val="134"/>
      <scheme val="minor"/>
    </font>
    <font>
      <sz val="18"/>
      <name val="新宋体"/>
      <charset val="134"/>
    </font>
    <font>
      <b/>
      <sz val="22"/>
      <color rgb="FF1019D1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b/>
      <sz val="16"/>
      <color rgb="FF1019D1"/>
      <name val="微软雅黑"/>
      <charset val="134"/>
    </font>
    <font>
      <b/>
      <sz val="12"/>
      <color rgb="FFB137DF"/>
      <name val="微软雅黑"/>
      <charset val="134"/>
    </font>
    <font>
      <sz val="20"/>
      <name val="微软雅黑"/>
      <charset val="134"/>
    </font>
    <font>
      <b/>
      <sz val="36"/>
      <color theme="1"/>
      <name val="微软雅黑"/>
      <charset val="134"/>
    </font>
    <font>
      <b/>
      <sz val="16"/>
      <color theme="1"/>
      <name val="微软雅黑"/>
      <charset val="134"/>
    </font>
    <font>
      <b/>
      <sz val="36"/>
      <color rgb="FF1019D1"/>
      <name val="微软雅黑"/>
      <charset val="134"/>
    </font>
    <font>
      <b/>
      <sz val="16"/>
      <name val="宋体"/>
      <charset val="134"/>
    </font>
    <font>
      <b/>
      <sz val="16"/>
      <color theme="1"/>
      <name val="宋体"/>
      <charset val="134"/>
    </font>
    <font>
      <b/>
      <sz val="16"/>
      <color rgb="FF1019D1"/>
      <name val="宋体"/>
      <charset val="134"/>
    </font>
    <font>
      <b/>
      <sz val="16"/>
      <color rgb="FFB137DF"/>
      <name val="宋体"/>
      <charset val="134"/>
    </font>
    <font>
      <sz val="16"/>
      <name val="宋体"/>
      <charset val="134"/>
    </font>
    <font>
      <b/>
      <sz val="16"/>
      <color rgb="FFFF0000"/>
      <name val="宋体"/>
      <charset val="134"/>
    </font>
    <font>
      <sz val="16"/>
      <color rgb="FFFF0000"/>
      <name val="宋体"/>
      <charset val="134"/>
    </font>
    <font>
      <sz val="16"/>
      <color rgb="FFFF0000"/>
      <name val="微软雅黑"/>
      <charset val="134"/>
    </font>
    <font>
      <b/>
      <sz val="16"/>
      <color rgb="FF000000"/>
      <name val="宋体"/>
      <charset val="134"/>
    </font>
    <font>
      <b/>
      <sz val="16"/>
      <color rgb="FFEC1DF9"/>
      <name val="宋体"/>
      <charset val="134"/>
    </font>
    <font>
      <b/>
      <sz val="18"/>
      <name val="宋体"/>
      <charset val="134"/>
    </font>
    <font>
      <b/>
      <sz val="18"/>
      <color theme="1"/>
      <name val="宋体"/>
      <charset val="134"/>
    </font>
    <font>
      <b/>
      <sz val="18"/>
      <color rgb="FF1019D1"/>
      <name val="宋体"/>
      <charset val="134"/>
    </font>
    <font>
      <b/>
      <sz val="14"/>
      <name val="宋体"/>
      <charset val="134"/>
    </font>
    <font>
      <b/>
      <sz val="14"/>
      <color theme="1"/>
      <name val="宋体"/>
      <charset val="134"/>
    </font>
    <font>
      <b/>
      <sz val="14"/>
      <color rgb="FF1019D1"/>
      <name val="宋体"/>
      <charset val="134"/>
    </font>
    <font>
      <b/>
      <sz val="11"/>
      <color theme="1"/>
      <name val="宋体"/>
      <charset val="134"/>
    </font>
    <font>
      <b/>
      <sz val="18"/>
      <color rgb="FFB137DF"/>
      <name val="宋体"/>
      <charset val="134"/>
    </font>
    <font>
      <sz val="18"/>
      <name val="宋体"/>
      <charset val="134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6" fillId="0" borderId="0">
      <alignment vertical="center"/>
    </xf>
  </cellStyleXfs>
  <cellXfs count="110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  <xf numFmtId="165" fontId="10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vertical="center"/>
    </xf>
    <xf numFmtId="0" fontId="17" fillId="2" borderId="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>
      <alignment horizontal="left" vertical="center"/>
    </xf>
    <xf numFmtId="0" fontId="18" fillId="2" borderId="4" xfId="0" applyFont="1" applyFill="1" applyBorder="1" applyAlignment="1">
      <alignment horizontal="left" vertical="center"/>
    </xf>
    <xf numFmtId="0" fontId="18" fillId="2" borderId="4" xfId="0" applyFont="1" applyFill="1" applyBorder="1" applyAlignment="1">
      <alignment horizontal="left" vertical="center" wrapText="1"/>
    </xf>
    <xf numFmtId="0" fontId="18" fillId="2" borderId="4" xfId="0" applyFont="1" applyFill="1" applyBorder="1" applyAlignment="1">
      <alignment horizontal="center" vertical="center" wrapText="1"/>
    </xf>
    <xf numFmtId="164" fontId="19" fillId="2" borderId="4" xfId="0" applyNumberFormat="1" applyFont="1" applyFill="1" applyBorder="1" applyAlignment="1">
      <alignment horizontal="center" vertical="center" wrapText="1"/>
    </xf>
    <xf numFmtId="165" fontId="18" fillId="2" borderId="4" xfId="0" applyNumberFormat="1" applyFont="1" applyFill="1" applyBorder="1" applyAlignment="1">
      <alignment horizontal="center" vertical="center" wrapText="1"/>
    </xf>
    <xf numFmtId="165" fontId="17" fillId="2" borderId="4" xfId="0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left" vertical="center" wrapText="1"/>
    </xf>
    <xf numFmtId="0" fontId="21" fillId="2" borderId="4" xfId="0" applyFont="1" applyFill="1" applyBorder="1" applyAlignment="1">
      <alignment horizontal="left" vertical="center"/>
    </xf>
    <xf numFmtId="0" fontId="22" fillId="2" borderId="4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left" vertical="center"/>
    </xf>
    <xf numFmtId="0" fontId="22" fillId="2" borderId="4" xfId="0" applyFont="1" applyFill="1" applyBorder="1" applyAlignment="1">
      <alignment horizontal="left" vertical="center" wrapText="1"/>
    </xf>
    <xf numFmtId="0" fontId="22" fillId="2" borderId="4" xfId="0" applyFont="1" applyFill="1" applyBorder="1" applyAlignment="1">
      <alignment horizontal="center" vertical="center"/>
    </xf>
    <xf numFmtId="165" fontId="22" fillId="2" borderId="4" xfId="0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left" vertical="center"/>
    </xf>
    <xf numFmtId="0" fontId="24" fillId="2" borderId="0" xfId="0" applyFont="1" applyFill="1" applyAlignment="1">
      <alignment vertical="center"/>
    </xf>
    <xf numFmtId="0" fontId="18" fillId="2" borderId="4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164" fontId="19" fillId="2" borderId="4" xfId="0" applyNumberFormat="1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left" vertical="center" wrapText="1"/>
    </xf>
    <xf numFmtId="0" fontId="26" fillId="2" borderId="4" xfId="0" applyFont="1" applyFill="1" applyBorder="1" applyAlignment="1">
      <alignment horizontal="left" vertical="center"/>
    </xf>
    <xf numFmtId="0" fontId="27" fillId="2" borderId="4" xfId="0" applyFont="1" applyFill="1" applyBorder="1" applyAlignment="1">
      <alignment horizontal="left" vertical="center" wrapText="1"/>
    </xf>
    <xf numFmtId="0" fontId="28" fillId="2" borderId="4" xfId="0" applyFont="1" applyFill="1" applyBorder="1" applyAlignment="1">
      <alignment horizontal="left" vertical="center" wrapText="1"/>
    </xf>
    <xf numFmtId="0" fontId="27" fillId="2" borderId="4" xfId="1" applyFont="1" applyFill="1" applyBorder="1" applyAlignment="1">
      <alignment horizontal="left" vertical="center" wrapText="1"/>
    </xf>
    <xf numFmtId="0" fontId="27" fillId="2" borderId="4" xfId="0" applyFont="1" applyFill="1" applyBorder="1" applyAlignment="1">
      <alignment horizontal="center" vertical="center"/>
    </xf>
    <xf numFmtId="164" fontId="29" fillId="0" borderId="4" xfId="0" applyNumberFormat="1" applyFont="1" applyBorder="1" applyAlignment="1">
      <alignment horizontal="center" vertical="center"/>
    </xf>
    <xf numFmtId="165" fontId="28" fillId="2" borderId="4" xfId="0" applyNumberFormat="1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18" fillId="2" borderId="4" xfId="1" applyFont="1" applyFill="1" applyBorder="1" applyAlignment="1">
      <alignment horizontal="left" vertical="center" wrapText="1"/>
    </xf>
    <xf numFmtId="0" fontId="27" fillId="2" borderId="4" xfId="0" applyFont="1" applyFill="1" applyBorder="1" applyAlignment="1">
      <alignment vertical="center" wrapText="1"/>
    </xf>
    <xf numFmtId="0" fontId="28" fillId="2" borderId="4" xfId="0" applyFont="1" applyFill="1" applyBorder="1" applyAlignment="1">
      <alignment horizontal="left" vertical="center"/>
    </xf>
    <xf numFmtId="0" fontId="28" fillId="2" borderId="4" xfId="0" applyFont="1" applyFill="1" applyBorder="1" applyAlignment="1">
      <alignment horizontal="center" vertical="center" wrapText="1"/>
    </xf>
    <xf numFmtId="164" fontId="29" fillId="2" borderId="4" xfId="0" applyNumberFormat="1" applyFont="1" applyFill="1" applyBorder="1" applyAlignment="1">
      <alignment horizontal="center" vertical="center"/>
    </xf>
    <xf numFmtId="164" fontId="29" fillId="2" borderId="4" xfId="0" applyNumberFormat="1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left" vertical="center" wrapText="1"/>
    </xf>
    <xf numFmtId="0" fontId="31" fillId="2" borderId="4" xfId="0" applyFont="1" applyFill="1" applyBorder="1" applyAlignment="1">
      <alignment horizontal="left" vertical="center" wrapText="1"/>
    </xf>
    <xf numFmtId="0" fontId="31" fillId="2" borderId="4" xfId="0" applyFont="1" applyFill="1" applyBorder="1" applyAlignment="1">
      <alignment horizontal="left" vertical="center"/>
    </xf>
    <xf numFmtId="0" fontId="31" fillId="2" borderId="4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/>
    </xf>
    <xf numFmtId="164" fontId="32" fillId="2" borderId="4" xfId="0" applyNumberFormat="1" applyFont="1" applyFill="1" applyBorder="1" applyAlignment="1">
      <alignment horizontal="center" vertical="center"/>
    </xf>
    <xf numFmtId="165" fontId="31" fillId="2" borderId="4" xfId="0" applyNumberFormat="1" applyFont="1" applyFill="1" applyBorder="1" applyAlignment="1">
      <alignment horizontal="center" vertical="center" wrapText="1"/>
    </xf>
    <xf numFmtId="0" fontId="33" fillId="2" borderId="4" xfId="0" applyFont="1" applyFill="1" applyBorder="1" applyAlignment="1">
      <alignment horizontal="left" vertical="center" wrapText="1"/>
    </xf>
    <xf numFmtId="0" fontId="25" fillId="2" borderId="5" xfId="0" applyFont="1" applyFill="1" applyBorder="1" applyAlignment="1">
      <alignment horizontal="left" vertical="center" wrapText="1"/>
    </xf>
    <xf numFmtId="0" fontId="17" fillId="2" borderId="5" xfId="0" applyFont="1" applyFill="1" applyBorder="1" applyAlignment="1">
      <alignment horizontal="left" vertical="center"/>
    </xf>
    <xf numFmtId="0" fontId="17" fillId="2" borderId="5" xfId="0" applyFont="1" applyFill="1" applyBorder="1" applyAlignment="1">
      <alignment horizontal="left" vertical="center" wrapText="1"/>
    </xf>
    <xf numFmtId="0" fontId="17" fillId="2" borderId="5" xfId="0" applyFont="1" applyFill="1" applyBorder="1" applyAlignment="1">
      <alignment horizontal="center" vertical="center"/>
    </xf>
    <xf numFmtId="164" fontId="19" fillId="2" borderId="5" xfId="0" applyNumberFormat="1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left" vertical="center" wrapText="1"/>
    </xf>
    <xf numFmtId="0" fontId="17" fillId="2" borderId="4" xfId="1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8" fillId="2" borderId="4" xfId="0" applyFont="1" applyFill="1" applyBorder="1" applyAlignment="1">
      <alignment vertical="center"/>
    </xf>
    <xf numFmtId="0" fontId="28" fillId="0" borderId="4" xfId="0" applyFont="1" applyBorder="1" applyAlignment="1">
      <alignment horizontal="left" vertical="center" wrapText="1"/>
    </xf>
    <xf numFmtId="0" fontId="27" fillId="0" borderId="4" xfId="0" applyFont="1" applyBorder="1" applyAlignment="1">
      <alignment horizontal="left" vertical="center" wrapText="1"/>
    </xf>
    <xf numFmtId="0" fontId="27" fillId="0" borderId="4" xfId="0" applyFont="1" applyBorder="1" applyAlignment="1">
      <alignment horizontal="left" vertical="center"/>
    </xf>
    <xf numFmtId="0" fontId="27" fillId="3" borderId="4" xfId="0" applyFont="1" applyFill="1" applyBorder="1" applyAlignment="1">
      <alignment horizontal="left" vertical="center" wrapText="1"/>
    </xf>
    <xf numFmtId="0" fontId="28" fillId="3" borderId="4" xfId="0" applyFont="1" applyFill="1" applyBorder="1" applyAlignment="1">
      <alignment horizontal="left" vertical="center"/>
    </xf>
    <xf numFmtId="0" fontId="28" fillId="3" borderId="4" xfId="0" applyFont="1" applyFill="1" applyBorder="1" applyAlignment="1">
      <alignment horizontal="center" vertical="center"/>
    </xf>
    <xf numFmtId="166" fontId="28" fillId="3" borderId="4" xfId="0" applyNumberFormat="1" applyFont="1" applyFill="1" applyBorder="1" applyAlignment="1">
      <alignment horizontal="center" vertical="center"/>
    </xf>
    <xf numFmtId="0" fontId="27" fillId="3" borderId="4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34" fillId="2" borderId="4" xfId="0" applyFont="1" applyFill="1" applyBorder="1" applyAlignment="1">
      <alignment horizontal="left" vertical="center"/>
    </xf>
    <xf numFmtId="0" fontId="35" fillId="2" borderId="4" xfId="0" applyFont="1" applyFill="1" applyBorder="1" applyAlignment="1">
      <alignment horizontal="left" vertical="center"/>
    </xf>
    <xf numFmtId="0" fontId="27" fillId="3" borderId="4" xfId="0" applyFont="1" applyFill="1" applyBorder="1" applyAlignment="1">
      <alignment horizontal="left" vertical="center"/>
    </xf>
    <xf numFmtId="165" fontId="27" fillId="0" borderId="4" xfId="0" applyNumberFormat="1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left" vertical="center" wrapText="1"/>
    </xf>
    <xf numFmtId="0" fontId="27" fillId="3" borderId="4" xfId="0" applyFont="1" applyFill="1" applyBorder="1" applyAlignment="1">
      <alignment horizontal="center" vertical="center" wrapText="1"/>
    </xf>
    <xf numFmtId="165" fontId="28" fillId="0" borderId="4" xfId="0" applyNumberFormat="1" applyFont="1" applyBorder="1" applyAlignment="1">
      <alignment horizontal="center" vertical="center" wrapText="1"/>
    </xf>
    <xf numFmtId="0" fontId="28" fillId="3" borderId="4" xfId="0" applyFont="1" applyFill="1" applyBorder="1" applyAlignment="1">
      <alignment horizontal="left" vertical="center" wrapText="1"/>
    </xf>
    <xf numFmtId="164" fontId="29" fillId="0" borderId="4" xfId="0" applyNumberFormat="1" applyFont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left" vertical="center"/>
    </xf>
    <xf numFmtId="0" fontId="27" fillId="3" borderId="4" xfId="0" applyFont="1" applyFill="1" applyBorder="1" applyAlignment="1">
      <alignment vertical="center" wrapText="1"/>
    </xf>
    <xf numFmtId="0" fontId="28" fillId="3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164" fontId="16" fillId="2" borderId="2" xfId="0" applyNumberFormat="1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</cellXfs>
  <cellStyles count="2">
    <cellStyle name="Normal" xfId="0" builtinId="0"/>
    <cellStyle name="常规 2" xfId="1" xr:uid="{00000000-0005-0000-0000-000031000000}"/>
  </cellStyles>
  <dxfs count="0"/>
  <tableStyles count="0" defaultTableStyle="TableStyleMedium2" defaultPivotStyle="PivotStyleLight16"/>
  <colors>
    <mruColors>
      <color rgb="FFB137DF"/>
      <color rgb="FF1019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0"/>
  <sheetViews>
    <sheetView tabSelected="1" zoomScale="70" zoomScaleNormal="70" workbookViewId="0">
      <selection sqref="A1:V1"/>
    </sheetView>
  </sheetViews>
  <sheetFormatPr defaultColWidth="9" defaultRowHeight="48.95" customHeight="1"/>
  <cols>
    <col min="1" max="1" width="10.28515625" style="9" customWidth="1"/>
    <col min="2" max="2" width="35.140625" style="10" customWidth="1"/>
    <col min="3" max="3" width="23.7109375" style="10" customWidth="1"/>
    <col min="4" max="4" width="16.42578125" style="10" customWidth="1"/>
    <col min="5" max="5" width="27.140625" style="11" customWidth="1"/>
    <col min="6" max="6" width="23.140625" style="12" customWidth="1"/>
    <col min="7" max="7" width="13" style="13" customWidth="1"/>
    <col min="8" max="8" width="13.140625" style="13" customWidth="1"/>
    <col min="9" max="9" width="11.5703125" style="13" customWidth="1"/>
    <col min="10" max="10" width="12.42578125" style="12" customWidth="1"/>
    <col min="11" max="11" width="14.5703125" style="14" customWidth="1"/>
    <col min="12" max="12" width="15.85546875" style="14" customWidth="1"/>
    <col min="13" max="13" width="20.85546875" style="15" customWidth="1"/>
    <col min="14" max="14" width="30" style="15" customWidth="1"/>
    <col min="15" max="15" width="20.28515625" style="16" customWidth="1"/>
    <col min="16" max="16" width="15.140625" style="14" customWidth="1"/>
    <col min="17" max="17" width="20" style="14" customWidth="1"/>
    <col min="18" max="18" width="11.85546875" style="14" customWidth="1"/>
    <col min="19" max="19" width="21" style="14" customWidth="1"/>
    <col min="20" max="20" width="45.5703125" style="17" customWidth="1"/>
    <col min="21" max="21" width="16" style="18" customWidth="1"/>
    <col min="22" max="22" width="17.42578125" style="19" customWidth="1"/>
    <col min="23" max="23" width="1.7109375" style="17" customWidth="1"/>
    <col min="24" max="16384" width="9" style="17"/>
  </cols>
  <sheetData>
    <row r="1" spans="1:23" ht="69" customHeight="1">
      <c r="A1" s="102" t="s">
        <v>0</v>
      </c>
      <c r="B1" s="103"/>
      <c r="C1" s="103"/>
      <c r="D1" s="103"/>
      <c r="E1" s="104"/>
      <c r="F1" s="103"/>
      <c r="G1" s="103"/>
      <c r="H1" s="103"/>
      <c r="I1" s="103"/>
      <c r="J1" s="103"/>
      <c r="K1" s="103"/>
      <c r="L1" s="103"/>
      <c r="M1" s="105"/>
      <c r="N1" s="105"/>
      <c r="O1" s="103"/>
      <c r="P1" s="103"/>
      <c r="Q1" s="103"/>
      <c r="R1" s="103"/>
      <c r="S1" s="103"/>
      <c r="T1" s="103"/>
      <c r="U1" s="103"/>
      <c r="V1" s="106"/>
    </row>
    <row r="2" spans="1:23" s="1" customFormat="1" ht="48.95" customHeight="1">
      <c r="A2" s="20" t="s">
        <v>1</v>
      </c>
      <c r="B2" s="21" t="s">
        <v>2</v>
      </c>
      <c r="C2" s="22" t="s">
        <v>3</v>
      </c>
      <c r="D2" s="21" t="s">
        <v>4</v>
      </c>
      <c r="E2" s="21" t="s">
        <v>5</v>
      </c>
      <c r="F2" s="23" t="s">
        <v>6</v>
      </c>
      <c r="G2" s="107" t="s">
        <v>7</v>
      </c>
      <c r="H2" s="107"/>
      <c r="I2" s="107"/>
      <c r="J2" s="25" t="s">
        <v>8</v>
      </c>
      <c r="K2" s="20" t="s">
        <v>9</v>
      </c>
      <c r="L2" s="20" t="s">
        <v>10</v>
      </c>
      <c r="M2" s="26" t="s">
        <v>11</v>
      </c>
      <c r="N2" s="26" t="s">
        <v>12</v>
      </c>
      <c r="O2" s="27" t="s">
        <v>13</v>
      </c>
      <c r="P2" s="28" t="s">
        <v>14</v>
      </c>
      <c r="Q2" s="28" t="s">
        <v>15</v>
      </c>
      <c r="R2" s="28" t="s">
        <v>16</v>
      </c>
      <c r="S2" s="28" t="s">
        <v>17</v>
      </c>
      <c r="T2" s="21" t="s">
        <v>18</v>
      </c>
      <c r="U2" s="29"/>
      <c r="V2" s="30"/>
    </row>
    <row r="3" spans="1:23" s="2" customFormat="1" ht="57" customHeight="1">
      <c r="A3" s="31">
        <v>1</v>
      </c>
      <c r="B3" s="32" t="s">
        <v>19</v>
      </c>
      <c r="C3" s="33" t="s">
        <v>20</v>
      </c>
      <c r="D3" s="32" t="s">
        <v>21</v>
      </c>
      <c r="E3" s="33" t="s">
        <v>22</v>
      </c>
      <c r="F3" s="32" t="s">
        <v>23</v>
      </c>
      <c r="G3" s="34">
        <v>1.03</v>
      </c>
      <c r="H3" s="34">
        <v>0.53</v>
      </c>
      <c r="I3" s="34">
        <v>0.22</v>
      </c>
      <c r="J3" s="34">
        <v>7</v>
      </c>
      <c r="K3" s="34">
        <v>263</v>
      </c>
      <c r="L3" s="34">
        <f>K3*J3</f>
        <v>1841</v>
      </c>
      <c r="M3" s="26">
        <v>52</v>
      </c>
      <c r="N3" s="26">
        <f>L3*M3</f>
        <v>95732</v>
      </c>
      <c r="O3" s="35">
        <f>G3*H3*I3*K3</f>
        <v>31.585774000000004</v>
      </c>
      <c r="P3" s="31">
        <v>2.6</v>
      </c>
      <c r="Q3" s="34">
        <f>P3*L3</f>
        <v>4786.6000000000004</v>
      </c>
      <c r="R3" s="31">
        <v>19.36</v>
      </c>
      <c r="S3" s="34">
        <f>R3*K3</f>
        <v>5091.68</v>
      </c>
      <c r="T3" s="33" t="s">
        <v>24</v>
      </c>
      <c r="U3" s="32" t="s">
        <v>25</v>
      </c>
      <c r="V3" s="36" t="s">
        <v>26</v>
      </c>
      <c r="W3" s="37"/>
    </row>
    <row r="4" spans="1:23" s="1" customFormat="1" ht="57" customHeight="1">
      <c r="A4" s="20">
        <v>2</v>
      </c>
      <c r="B4" s="21" t="s">
        <v>27</v>
      </c>
      <c r="C4" s="22" t="s">
        <v>20</v>
      </c>
      <c r="D4" s="22" t="s">
        <v>28</v>
      </c>
      <c r="E4" s="21" t="s">
        <v>29</v>
      </c>
      <c r="F4" s="23" t="s">
        <v>30</v>
      </c>
      <c r="G4" s="38">
        <v>0.92500000000000004</v>
      </c>
      <c r="H4" s="38">
        <v>0.52500000000000002</v>
      </c>
      <c r="I4" s="38">
        <v>0.53500000000000003</v>
      </c>
      <c r="J4" s="38">
        <v>5</v>
      </c>
      <c r="K4" s="39">
        <v>34</v>
      </c>
      <c r="L4" s="39">
        <f>K4*J4</f>
        <v>170</v>
      </c>
      <c r="M4" s="40">
        <v>145.35</v>
      </c>
      <c r="N4" s="26">
        <f t="shared" ref="N4:N46" si="0">L4*M4</f>
        <v>24709.5</v>
      </c>
      <c r="O4" s="27">
        <f>G4*H4*I4*K4</f>
        <v>8.8335187499999996</v>
      </c>
      <c r="P4" s="39">
        <v>4.5999999999999996</v>
      </c>
      <c r="Q4" s="39">
        <f>P4*L4</f>
        <v>781.99999999999989</v>
      </c>
      <c r="R4" s="39">
        <v>28.9</v>
      </c>
      <c r="S4" s="39">
        <f>R4*K4</f>
        <v>982.59999999999991</v>
      </c>
      <c r="T4" s="21" t="s">
        <v>31</v>
      </c>
      <c r="U4" s="29" t="s">
        <v>25</v>
      </c>
      <c r="V4" s="30" t="s">
        <v>26</v>
      </c>
    </row>
    <row r="5" spans="1:23" s="1" customFormat="1" ht="57" customHeight="1">
      <c r="A5" s="20">
        <v>3</v>
      </c>
      <c r="B5" s="21" t="s">
        <v>32</v>
      </c>
      <c r="C5" s="21" t="s">
        <v>20</v>
      </c>
      <c r="D5" s="24" t="s">
        <v>33</v>
      </c>
      <c r="E5" s="21" t="s">
        <v>34</v>
      </c>
      <c r="F5" s="22" t="s">
        <v>35</v>
      </c>
      <c r="G5" s="39">
        <v>0.52</v>
      </c>
      <c r="H5" s="39">
        <v>0.51500000000000001</v>
      </c>
      <c r="I5" s="39">
        <v>0.28000000000000003</v>
      </c>
      <c r="J5" s="39">
        <v>1</v>
      </c>
      <c r="K5" s="39">
        <v>411</v>
      </c>
      <c r="L5" s="39">
        <f>K5*J5</f>
        <v>411</v>
      </c>
      <c r="M5" s="26">
        <v>133</v>
      </c>
      <c r="N5" s="26">
        <f t="shared" si="0"/>
        <v>54663</v>
      </c>
      <c r="O5" s="27">
        <f>G5*H5*I5*K5</f>
        <v>30.818424000000011</v>
      </c>
      <c r="P5" s="20">
        <v>3.6</v>
      </c>
      <c r="Q5" s="39">
        <f>P5*L5</f>
        <v>1479.6000000000001</v>
      </c>
      <c r="R5" s="20">
        <v>4.91</v>
      </c>
      <c r="S5" s="39">
        <f>R5*K5</f>
        <v>2018.01</v>
      </c>
      <c r="T5" s="21" t="s">
        <v>36</v>
      </c>
      <c r="U5" s="29" t="s">
        <v>25</v>
      </c>
      <c r="V5" s="30" t="s">
        <v>26</v>
      </c>
    </row>
    <row r="6" spans="1:23" s="1" customFormat="1" ht="57" customHeight="1">
      <c r="A6" s="20">
        <v>4</v>
      </c>
      <c r="B6" s="21" t="s">
        <v>37</v>
      </c>
      <c r="C6" s="22" t="s">
        <v>20</v>
      </c>
      <c r="D6" s="24" t="s">
        <v>33</v>
      </c>
      <c r="E6" s="21" t="s">
        <v>38</v>
      </c>
      <c r="F6" s="23" t="s">
        <v>39</v>
      </c>
      <c r="G6" s="38">
        <v>0.98499999999999999</v>
      </c>
      <c r="H6" s="38">
        <v>0.51</v>
      </c>
      <c r="I6" s="38">
        <v>0.28499999999999998</v>
      </c>
      <c r="J6" s="25">
        <v>1</v>
      </c>
      <c r="K6" s="20">
        <v>523</v>
      </c>
      <c r="L6" s="39">
        <f t="shared" ref="L6:L18" si="1">K6*J6</f>
        <v>523</v>
      </c>
      <c r="M6" s="40">
        <v>274</v>
      </c>
      <c r="N6" s="26">
        <f t="shared" si="0"/>
        <v>143302</v>
      </c>
      <c r="O6" s="27">
        <f t="shared" ref="O6:O25" si="2">G6*H6*I6*K6</f>
        <v>74.877779249999989</v>
      </c>
      <c r="P6" s="20">
        <v>7.6</v>
      </c>
      <c r="Q6" s="39">
        <f t="shared" ref="Q6:Q31" si="3">P6*L6</f>
        <v>3974.7999999999997</v>
      </c>
      <c r="R6" s="20">
        <v>9.5</v>
      </c>
      <c r="S6" s="39">
        <f t="shared" ref="S6:S31" si="4">R6*K6</f>
        <v>4968.5</v>
      </c>
      <c r="T6" s="21" t="s">
        <v>40</v>
      </c>
      <c r="U6" s="29" t="s">
        <v>25</v>
      </c>
      <c r="V6" s="30" t="s">
        <v>26</v>
      </c>
    </row>
    <row r="7" spans="1:23" s="1" customFormat="1" ht="57" customHeight="1">
      <c r="A7" s="20">
        <v>5</v>
      </c>
      <c r="B7" s="21" t="s">
        <v>41</v>
      </c>
      <c r="C7" s="23" t="s">
        <v>20</v>
      </c>
      <c r="D7" s="22" t="s">
        <v>28</v>
      </c>
      <c r="E7" s="21" t="s">
        <v>42</v>
      </c>
      <c r="F7" s="22" t="s">
        <v>43</v>
      </c>
      <c r="G7" s="39">
        <v>0.80500000000000005</v>
      </c>
      <c r="H7" s="39">
        <v>0.51500000000000001</v>
      </c>
      <c r="I7" s="39">
        <v>0.52500000000000002</v>
      </c>
      <c r="J7" s="20">
        <v>5</v>
      </c>
      <c r="K7" s="20">
        <v>12</v>
      </c>
      <c r="L7" s="39">
        <f t="shared" si="1"/>
        <v>60</v>
      </c>
      <c r="M7" s="40">
        <v>98</v>
      </c>
      <c r="N7" s="26">
        <f t="shared" si="0"/>
        <v>5880</v>
      </c>
      <c r="O7" s="27">
        <f t="shared" si="2"/>
        <v>2.6118225000000002</v>
      </c>
      <c r="P7" s="39">
        <v>4</v>
      </c>
      <c r="Q7" s="39">
        <f t="shared" si="3"/>
        <v>240</v>
      </c>
      <c r="R7" s="39">
        <v>23.5</v>
      </c>
      <c r="S7" s="39">
        <f t="shared" si="4"/>
        <v>282</v>
      </c>
      <c r="T7" s="24" t="s">
        <v>31</v>
      </c>
      <c r="U7" s="29" t="s">
        <v>25</v>
      </c>
      <c r="V7" s="30" t="s">
        <v>26</v>
      </c>
    </row>
    <row r="8" spans="1:23" s="1" customFormat="1" ht="57" customHeight="1">
      <c r="A8" s="20">
        <v>6</v>
      </c>
      <c r="B8" s="21" t="s">
        <v>44</v>
      </c>
      <c r="C8" s="22" t="s">
        <v>20</v>
      </c>
      <c r="D8" s="22" t="s">
        <v>28</v>
      </c>
      <c r="E8" s="21" t="s">
        <v>45</v>
      </c>
      <c r="F8" s="22" t="s">
        <v>46</v>
      </c>
      <c r="G8" s="39">
        <v>0.65</v>
      </c>
      <c r="H8" s="39">
        <v>0.5</v>
      </c>
      <c r="I8" s="20">
        <v>0.76</v>
      </c>
      <c r="J8" s="20">
        <v>10</v>
      </c>
      <c r="K8" s="20">
        <v>57</v>
      </c>
      <c r="L8" s="39">
        <f t="shared" si="1"/>
        <v>570</v>
      </c>
      <c r="M8" s="40">
        <v>65</v>
      </c>
      <c r="N8" s="26">
        <f t="shared" si="0"/>
        <v>37050</v>
      </c>
      <c r="O8" s="27">
        <f t="shared" si="2"/>
        <v>14.079000000000001</v>
      </c>
      <c r="P8" s="20">
        <v>3.2</v>
      </c>
      <c r="Q8" s="39">
        <f t="shared" si="3"/>
        <v>1824</v>
      </c>
      <c r="R8" s="20">
        <v>35.9</v>
      </c>
      <c r="S8" s="39">
        <f t="shared" si="4"/>
        <v>2046.3</v>
      </c>
      <c r="T8" s="24" t="s">
        <v>47</v>
      </c>
      <c r="U8" s="29" t="s">
        <v>25</v>
      </c>
      <c r="V8" s="30" t="s">
        <v>26</v>
      </c>
    </row>
    <row r="9" spans="1:23" s="1" customFormat="1" ht="57" customHeight="1">
      <c r="A9" s="20">
        <v>7</v>
      </c>
      <c r="B9" s="24" t="s">
        <v>48</v>
      </c>
      <c r="C9" s="23" t="s">
        <v>20</v>
      </c>
      <c r="D9" s="23" t="s">
        <v>28</v>
      </c>
      <c r="E9" s="24" t="s">
        <v>49</v>
      </c>
      <c r="F9" s="23" t="s">
        <v>50</v>
      </c>
      <c r="G9" s="38">
        <v>0.84499999999999997</v>
      </c>
      <c r="H9" s="38">
        <v>0.52500000000000002</v>
      </c>
      <c r="I9" s="38">
        <v>0.52500000000000002</v>
      </c>
      <c r="J9" s="25">
        <v>5</v>
      </c>
      <c r="K9" s="25">
        <v>30</v>
      </c>
      <c r="L9" s="39">
        <f t="shared" si="1"/>
        <v>150</v>
      </c>
      <c r="M9" s="40">
        <v>130</v>
      </c>
      <c r="N9" s="26">
        <f t="shared" si="0"/>
        <v>19500</v>
      </c>
      <c r="O9" s="27">
        <f t="shared" si="2"/>
        <v>6.9870937500000005</v>
      </c>
      <c r="P9" s="39">
        <v>4.2</v>
      </c>
      <c r="Q9" s="39">
        <f t="shared" si="3"/>
        <v>630</v>
      </c>
      <c r="R9" s="39">
        <v>32.799999999999997</v>
      </c>
      <c r="S9" s="39">
        <f t="shared" si="4"/>
        <v>983.99999999999989</v>
      </c>
      <c r="T9" s="21" t="s">
        <v>31</v>
      </c>
      <c r="U9" s="29" t="s">
        <v>25</v>
      </c>
      <c r="V9" s="30" t="s">
        <v>26</v>
      </c>
    </row>
    <row r="10" spans="1:23" s="1" customFormat="1" ht="57" customHeight="1">
      <c r="A10" s="20">
        <v>8</v>
      </c>
      <c r="B10" s="24" t="s">
        <v>51</v>
      </c>
      <c r="C10" s="22" t="s">
        <v>20</v>
      </c>
      <c r="D10" s="22" t="s">
        <v>28</v>
      </c>
      <c r="E10" s="21" t="s">
        <v>52</v>
      </c>
      <c r="F10" s="22" t="s">
        <v>53</v>
      </c>
      <c r="G10" s="39">
        <v>0.52</v>
      </c>
      <c r="H10" s="39">
        <v>0.47499999999999998</v>
      </c>
      <c r="I10" s="39">
        <v>0.745</v>
      </c>
      <c r="J10" s="20">
        <v>10</v>
      </c>
      <c r="K10" s="20">
        <v>20</v>
      </c>
      <c r="L10" s="39">
        <f t="shared" si="1"/>
        <v>200</v>
      </c>
      <c r="M10" s="40">
        <v>52</v>
      </c>
      <c r="N10" s="26">
        <f t="shared" si="0"/>
        <v>10400</v>
      </c>
      <c r="O10" s="27">
        <f t="shared" si="2"/>
        <v>3.6802999999999999</v>
      </c>
      <c r="P10" s="39">
        <v>2.4</v>
      </c>
      <c r="Q10" s="39">
        <f t="shared" si="3"/>
        <v>480</v>
      </c>
      <c r="R10" s="39">
        <v>27.8</v>
      </c>
      <c r="S10" s="39">
        <f t="shared" si="4"/>
        <v>556</v>
      </c>
      <c r="T10" s="24" t="s">
        <v>31</v>
      </c>
      <c r="U10" s="29" t="s">
        <v>25</v>
      </c>
      <c r="V10" s="30" t="s">
        <v>26</v>
      </c>
    </row>
    <row r="11" spans="1:23" s="1" customFormat="1" ht="57" customHeight="1">
      <c r="A11" s="20">
        <v>9</v>
      </c>
      <c r="B11" s="21" t="s">
        <v>54</v>
      </c>
      <c r="C11" s="22" t="s">
        <v>20</v>
      </c>
      <c r="D11" s="22" t="s">
        <v>28</v>
      </c>
      <c r="E11" s="21" t="s">
        <v>55</v>
      </c>
      <c r="F11" s="23" t="s">
        <v>56</v>
      </c>
      <c r="G11" s="38">
        <v>0.54500000000000004</v>
      </c>
      <c r="H11" s="38">
        <v>0.495</v>
      </c>
      <c r="I11" s="38">
        <v>0.78</v>
      </c>
      <c r="J11" s="38">
        <v>10</v>
      </c>
      <c r="K11" s="39">
        <v>15</v>
      </c>
      <c r="L11" s="39">
        <f t="shared" si="1"/>
        <v>150</v>
      </c>
      <c r="M11" s="40">
        <v>52</v>
      </c>
      <c r="N11" s="26">
        <f t="shared" si="0"/>
        <v>7800</v>
      </c>
      <c r="O11" s="27">
        <f t="shared" si="2"/>
        <v>3.1563675000000004</v>
      </c>
      <c r="P11" s="39">
        <v>2.6</v>
      </c>
      <c r="Q11" s="39">
        <f t="shared" si="3"/>
        <v>390</v>
      </c>
      <c r="R11" s="39">
        <v>35.1</v>
      </c>
      <c r="S11" s="39">
        <f t="shared" si="4"/>
        <v>526.5</v>
      </c>
      <c r="T11" s="21" t="s">
        <v>31</v>
      </c>
      <c r="U11" s="29" t="s">
        <v>25</v>
      </c>
      <c r="V11" s="30" t="s">
        <v>26</v>
      </c>
    </row>
    <row r="12" spans="1:23" s="3" customFormat="1" ht="57" customHeight="1">
      <c r="A12" s="20">
        <v>10</v>
      </c>
      <c r="B12" s="41" t="s">
        <v>57</v>
      </c>
      <c r="C12" s="23" t="s">
        <v>20</v>
      </c>
      <c r="D12" s="24" t="s">
        <v>33</v>
      </c>
      <c r="E12" s="21" t="s">
        <v>58</v>
      </c>
      <c r="F12" s="22" t="s">
        <v>59</v>
      </c>
      <c r="G12" s="39">
        <v>0.71499999999999997</v>
      </c>
      <c r="H12" s="39">
        <v>0.51500000000000001</v>
      </c>
      <c r="I12" s="39">
        <v>0.28000000000000003</v>
      </c>
      <c r="J12" s="39">
        <v>1</v>
      </c>
      <c r="K12" s="39">
        <v>31</v>
      </c>
      <c r="L12" s="39">
        <f t="shared" si="1"/>
        <v>31</v>
      </c>
      <c r="M12" s="26">
        <v>354</v>
      </c>
      <c r="N12" s="26">
        <f t="shared" si="0"/>
        <v>10974</v>
      </c>
      <c r="O12" s="27">
        <f t="shared" si="2"/>
        <v>3.1961930000000001</v>
      </c>
      <c r="P12" s="20">
        <v>4.3</v>
      </c>
      <c r="Q12" s="39">
        <f t="shared" si="3"/>
        <v>133.29999999999998</v>
      </c>
      <c r="R12" s="20">
        <v>9.4</v>
      </c>
      <c r="S12" s="39">
        <f t="shared" si="4"/>
        <v>291.40000000000003</v>
      </c>
      <c r="T12" s="24" t="s">
        <v>60</v>
      </c>
      <c r="U12" s="42" t="s">
        <v>61</v>
      </c>
      <c r="V12" s="30" t="s">
        <v>26</v>
      </c>
      <c r="W12" s="1"/>
    </row>
    <row r="13" spans="1:23" s="3" customFormat="1" ht="57" customHeight="1">
      <c r="A13" s="20">
        <v>11</v>
      </c>
      <c r="B13" s="41" t="s">
        <v>62</v>
      </c>
      <c r="C13" s="23" t="s">
        <v>20</v>
      </c>
      <c r="D13" s="23" t="s">
        <v>33</v>
      </c>
      <c r="E13" s="21" t="s">
        <v>63</v>
      </c>
      <c r="F13" s="22" t="s">
        <v>64</v>
      </c>
      <c r="G13" s="39">
        <v>0.61</v>
      </c>
      <c r="H13" s="39">
        <v>0.505</v>
      </c>
      <c r="I13" s="39">
        <v>0.27500000000000002</v>
      </c>
      <c r="J13" s="39">
        <v>1</v>
      </c>
      <c r="K13" s="39">
        <v>60</v>
      </c>
      <c r="L13" s="39">
        <f t="shared" si="1"/>
        <v>60</v>
      </c>
      <c r="M13" s="26">
        <v>242</v>
      </c>
      <c r="N13" s="26">
        <f t="shared" si="0"/>
        <v>14520</v>
      </c>
      <c r="O13" s="27">
        <f t="shared" si="2"/>
        <v>5.0828250000000006</v>
      </c>
      <c r="P13" s="20">
        <v>3.95</v>
      </c>
      <c r="Q13" s="39">
        <f t="shared" si="3"/>
        <v>237</v>
      </c>
      <c r="R13" s="20">
        <v>7.23</v>
      </c>
      <c r="S13" s="39">
        <f t="shared" si="4"/>
        <v>433.8</v>
      </c>
      <c r="T13" s="24" t="s">
        <v>65</v>
      </c>
      <c r="U13" s="42" t="s">
        <v>61</v>
      </c>
      <c r="V13" s="30" t="s">
        <v>26</v>
      </c>
      <c r="W13" s="1"/>
    </row>
    <row r="14" spans="1:23" s="1" customFormat="1" ht="57" customHeight="1">
      <c r="A14" s="20">
        <v>12</v>
      </c>
      <c r="B14" s="41" t="s">
        <v>66</v>
      </c>
      <c r="C14" s="23" t="s">
        <v>20</v>
      </c>
      <c r="D14" s="23" t="s">
        <v>33</v>
      </c>
      <c r="E14" s="21" t="s">
        <v>67</v>
      </c>
      <c r="F14" s="22" t="s">
        <v>64</v>
      </c>
      <c r="G14" s="39">
        <v>0.61</v>
      </c>
      <c r="H14" s="39">
        <v>0.505</v>
      </c>
      <c r="I14" s="39">
        <v>0.27500000000000002</v>
      </c>
      <c r="J14" s="39">
        <v>1</v>
      </c>
      <c r="K14" s="39">
        <v>187</v>
      </c>
      <c r="L14" s="39">
        <f t="shared" si="1"/>
        <v>187</v>
      </c>
      <c r="M14" s="26">
        <v>267</v>
      </c>
      <c r="N14" s="26">
        <f t="shared" si="0"/>
        <v>49929</v>
      </c>
      <c r="O14" s="27">
        <f t="shared" si="2"/>
        <v>15.841471250000001</v>
      </c>
      <c r="P14" s="20">
        <v>3.95</v>
      </c>
      <c r="Q14" s="39">
        <f t="shared" si="3"/>
        <v>738.65</v>
      </c>
      <c r="R14" s="20">
        <v>7.23</v>
      </c>
      <c r="S14" s="39">
        <f t="shared" si="4"/>
        <v>1352.01</v>
      </c>
      <c r="T14" s="24" t="s">
        <v>68</v>
      </c>
      <c r="U14" s="42" t="s">
        <v>61</v>
      </c>
      <c r="V14" s="30" t="s">
        <v>26</v>
      </c>
    </row>
    <row r="15" spans="1:23" s="4" customFormat="1" ht="54.95" customHeight="1">
      <c r="A15" s="20">
        <v>13</v>
      </c>
      <c r="B15" s="43" t="s">
        <v>69</v>
      </c>
      <c r="C15" s="43" t="s">
        <v>20</v>
      </c>
      <c r="D15" s="44" t="s">
        <v>33</v>
      </c>
      <c r="E15" s="43" t="s">
        <v>70</v>
      </c>
      <c r="F15" s="45" t="s">
        <v>71</v>
      </c>
      <c r="G15" s="46">
        <v>0.81499999999999995</v>
      </c>
      <c r="H15" s="46">
        <v>0.505</v>
      </c>
      <c r="I15" s="46">
        <v>0.26500000000000001</v>
      </c>
      <c r="J15" s="46">
        <v>1</v>
      </c>
      <c r="K15" s="46">
        <v>7</v>
      </c>
      <c r="L15" s="46">
        <f t="shared" si="1"/>
        <v>7</v>
      </c>
      <c r="M15" s="47">
        <v>380</v>
      </c>
      <c r="N15" s="26">
        <f t="shared" si="0"/>
        <v>2660</v>
      </c>
      <c r="O15" s="48">
        <f t="shared" si="2"/>
        <v>0.76347162499999999</v>
      </c>
      <c r="P15" s="49">
        <v>5.3</v>
      </c>
      <c r="Q15" s="46">
        <f t="shared" si="3"/>
        <v>37.1</v>
      </c>
      <c r="R15" s="49">
        <v>11.4</v>
      </c>
      <c r="S15" s="46">
        <f t="shared" si="4"/>
        <v>79.8</v>
      </c>
      <c r="T15" s="44" t="s">
        <v>72</v>
      </c>
      <c r="U15" s="42" t="s">
        <v>61</v>
      </c>
      <c r="V15" s="30" t="s">
        <v>26</v>
      </c>
    </row>
    <row r="16" spans="1:23" s="1" customFormat="1" ht="57" customHeight="1">
      <c r="A16" s="20">
        <v>14</v>
      </c>
      <c r="B16" s="21" t="s">
        <v>73</v>
      </c>
      <c r="C16" s="22" t="s">
        <v>74</v>
      </c>
      <c r="D16" s="22" t="s">
        <v>28</v>
      </c>
      <c r="E16" s="21" t="s">
        <v>75</v>
      </c>
      <c r="F16" s="23" t="s">
        <v>76</v>
      </c>
      <c r="G16" s="38">
        <v>0.99</v>
      </c>
      <c r="H16" s="38">
        <v>0.56999999999999995</v>
      </c>
      <c r="I16" s="38">
        <v>0.28999999999999998</v>
      </c>
      <c r="J16" s="25">
        <v>1</v>
      </c>
      <c r="K16" s="20">
        <v>102</v>
      </c>
      <c r="L16" s="39">
        <f t="shared" si="1"/>
        <v>102</v>
      </c>
      <c r="M16" s="26">
        <v>270</v>
      </c>
      <c r="N16" s="26">
        <f t="shared" si="0"/>
        <v>27540</v>
      </c>
      <c r="O16" s="27">
        <f t="shared" si="2"/>
        <v>16.691993999999998</v>
      </c>
      <c r="P16" s="20">
        <v>9</v>
      </c>
      <c r="Q16" s="39">
        <f t="shared" si="3"/>
        <v>918</v>
      </c>
      <c r="R16" s="20">
        <v>11.24</v>
      </c>
      <c r="S16" s="39">
        <f t="shared" si="4"/>
        <v>1146.48</v>
      </c>
      <c r="T16" s="21" t="s">
        <v>77</v>
      </c>
      <c r="U16" s="29" t="s">
        <v>25</v>
      </c>
      <c r="V16" s="30" t="s">
        <v>26</v>
      </c>
    </row>
    <row r="17" spans="1:23" s="1" customFormat="1" ht="57" customHeight="1">
      <c r="A17" s="20">
        <v>15</v>
      </c>
      <c r="B17" s="21" t="s">
        <v>78</v>
      </c>
      <c r="C17" s="22" t="s">
        <v>74</v>
      </c>
      <c r="D17" s="22" t="s">
        <v>28</v>
      </c>
      <c r="E17" s="21" t="s">
        <v>79</v>
      </c>
      <c r="F17" s="23" t="s">
        <v>80</v>
      </c>
      <c r="G17" s="38">
        <v>1.01</v>
      </c>
      <c r="H17" s="38">
        <v>0.56999999999999995</v>
      </c>
      <c r="I17" s="38">
        <v>0.28999999999999998</v>
      </c>
      <c r="J17" s="25">
        <v>1</v>
      </c>
      <c r="K17" s="25">
        <v>159</v>
      </c>
      <c r="L17" s="39">
        <f t="shared" si="1"/>
        <v>159</v>
      </c>
      <c r="M17" s="26">
        <v>276</v>
      </c>
      <c r="N17" s="26">
        <f t="shared" si="0"/>
        <v>43884</v>
      </c>
      <c r="O17" s="27">
        <f t="shared" si="2"/>
        <v>26.545527</v>
      </c>
      <c r="P17" s="20">
        <v>9.8000000000000007</v>
      </c>
      <c r="Q17" s="39">
        <f t="shared" si="3"/>
        <v>1558.2</v>
      </c>
      <c r="R17" s="20">
        <v>10.97</v>
      </c>
      <c r="S17" s="39">
        <f t="shared" si="4"/>
        <v>1744.23</v>
      </c>
      <c r="T17" s="21" t="s">
        <v>77</v>
      </c>
      <c r="U17" s="29" t="s">
        <v>25</v>
      </c>
      <c r="V17" s="30" t="s">
        <v>26</v>
      </c>
    </row>
    <row r="18" spans="1:23" s="1" customFormat="1" ht="57" customHeight="1">
      <c r="A18" s="20">
        <v>16</v>
      </c>
      <c r="B18" s="21" t="s">
        <v>81</v>
      </c>
      <c r="C18" s="21" t="s">
        <v>74</v>
      </c>
      <c r="D18" s="24" t="s">
        <v>33</v>
      </c>
      <c r="E18" s="21" t="s">
        <v>82</v>
      </c>
      <c r="F18" s="23" t="s">
        <v>83</v>
      </c>
      <c r="G18" s="25">
        <v>0.82</v>
      </c>
      <c r="H18" s="25">
        <v>0.54</v>
      </c>
      <c r="I18" s="25">
        <v>0.31</v>
      </c>
      <c r="J18" s="25">
        <v>1</v>
      </c>
      <c r="K18" s="25">
        <v>155</v>
      </c>
      <c r="L18" s="39">
        <f t="shared" si="1"/>
        <v>155</v>
      </c>
      <c r="M18" s="40">
        <v>345</v>
      </c>
      <c r="N18" s="26">
        <f t="shared" si="0"/>
        <v>53475</v>
      </c>
      <c r="O18" s="27">
        <f t="shared" si="2"/>
        <v>21.276540000000001</v>
      </c>
      <c r="P18" s="25">
        <v>7.4</v>
      </c>
      <c r="Q18" s="39">
        <f t="shared" si="3"/>
        <v>1147</v>
      </c>
      <c r="R18" s="25">
        <v>10.210000000000001</v>
      </c>
      <c r="S18" s="39">
        <f t="shared" si="4"/>
        <v>1582.5500000000002</v>
      </c>
      <c r="T18" s="24" t="s">
        <v>84</v>
      </c>
      <c r="U18" s="29" t="s">
        <v>61</v>
      </c>
      <c r="V18" s="30" t="s">
        <v>26</v>
      </c>
    </row>
    <row r="19" spans="1:23" s="1" customFormat="1" ht="57" customHeight="1">
      <c r="A19" s="20">
        <v>17</v>
      </c>
      <c r="B19" s="21" t="s">
        <v>85</v>
      </c>
      <c r="C19" s="21" t="s">
        <v>74</v>
      </c>
      <c r="D19" s="24" t="s">
        <v>33</v>
      </c>
      <c r="E19" s="21" t="s">
        <v>86</v>
      </c>
      <c r="F19" s="50" t="s">
        <v>87</v>
      </c>
      <c r="G19" s="38">
        <v>0.67500000000000004</v>
      </c>
      <c r="H19" s="38">
        <v>0.54500000000000004</v>
      </c>
      <c r="I19" s="38">
        <v>0.31</v>
      </c>
      <c r="J19" s="38">
        <v>1</v>
      </c>
      <c r="K19" s="39">
        <v>195</v>
      </c>
      <c r="L19" s="39">
        <f t="shared" ref="L19:L31" si="5">K19*J19</f>
        <v>195</v>
      </c>
      <c r="M19" s="40">
        <v>330</v>
      </c>
      <c r="N19" s="26">
        <f t="shared" si="0"/>
        <v>64350</v>
      </c>
      <c r="O19" s="27">
        <f t="shared" si="2"/>
        <v>22.238043750000006</v>
      </c>
      <c r="P19" s="20">
        <v>5.9</v>
      </c>
      <c r="Q19" s="39">
        <f t="shared" si="3"/>
        <v>1150.5</v>
      </c>
      <c r="R19" s="20">
        <f>9.6-1.31</f>
        <v>8.2899999999999991</v>
      </c>
      <c r="S19" s="39">
        <f t="shared" si="4"/>
        <v>1616.5499999999997</v>
      </c>
      <c r="T19" s="24" t="s">
        <v>88</v>
      </c>
      <c r="U19" s="29" t="s">
        <v>61</v>
      </c>
      <c r="V19" s="30" t="s">
        <v>26</v>
      </c>
    </row>
    <row r="20" spans="1:23" s="1" customFormat="1" ht="57" customHeight="1">
      <c r="A20" s="20">
        <v>18</v>
      </c>
      <c r="B20" s="21" t="s">
        <v>89</v>
      </c>
      <c r="C20" s="21" t="s">
        <v>74</v>
      </c>
      <c r="D20" s="24" t="s">
        <v>33</v>
      </c>
      <c r="E20" s="21" t="s">
        <v>90</v>
      </c>
      <c r="F20" s="50" t="s">
        <v>87</v>
      </c>
      <c r="G20" s="38">
        <v>0.67500000000000004</v>
      </c>
      <c r="H20" s="38">
        <v>0.54500000000000004</v>
      </c>
      <c r="I20" s="38">
        <v>0.31</v>
      </c>
      <c r="J20" s="38">
        <v>1</v>
      </c>
      <c r="K20" s="39">
        <v>142</v>
      </c>
      <c r="L20" s="39">
        <f t="shared" si="5"/>
        <v>142</v>
      </c>
      <c r="M20" s="40">
        <v>305</v>
      </c>
      <c r="N20" s="26">
        <f t="shared" si="0"/>
        <v>43310</v>
      </c>
      <c r="O20" s="27">
        <f t="shared" si="2"/>
        <v>16.193857500000004</v>
      </c>
      <c r="P20" s="20">
        <v>5.9</v>
      </c>
      <c r="Q20" s="39">
        <f t="shared" si="3"/>
        <v>837.80000000000007</v>
      </c>
      <c r="R20" s="20">
        <f>9.6-1.31</f>
        <v>8.2899999999999991</v>
      </c>
      <c r="S20" s="39">
        <f t="shared" si="4"/>
        <v>1177.1799999999998</v>
      </c>
      <c r="T20" s="24" t="s">
        <v>88</v>
      </c>
      <c r="U20" s="29" t="s">
        <v>61</v>
      </c>
      <c r="V20" s="30" t="s">
        <v>26</v>
      </c>
    </row>
    <row r="21" spans="1:23" s="4" customFormat="1" ht="65.099999999999994" customHeight="1">
      <c r="A21" s="20">
        <v>19</v>
      </c>
      <c r="B21" s="43" t="s">
        <v>91</v>
      </c>
      <c r="C21" s="51" t="s">
        <v>74</v>
      </c>
      <c r="D21" s="44" t="s">
        <v>33</v>
      </c>
      <c r="E21" s="43" t="s">
        <v>92</v>
      </c>
      <c r="F21" s="52" t="s">
        <v>93</v>
      </c>
      <c r="G21" s="53">
        <v>0.88</v>
      </c>
      <c r="H21" s="53">
        <v>0.53500000000000003</v>
      </c>
      <c r="I21" s="53">
        <v>0.31</v>
      </c>
      <c r="J21" s="46">
        <v>1</v>
      </c>
      <c r="K21" s="46">
        <v>3</v>
      </c>
      <c r="L21" s="46">
        <f t="shared" si="5"/>
        <v>3</v>
      </c>
      <c r="M21" s="54">
        <v>330</v>
      </c>
      <c r="N21" s="55">
        <f t="shared" si="0"/>
        <v>990</v>
      </c>
      <c r="O21" s="48">
        <f t="shared" si="2"/>
        <v>0.43784400000000007</v>
      </c>
      <c r="P21" s="49">
        <v>7.8</v>
      </c>
      <c r="Q21" s="46">
        <f t="shared" si="3"/>
        <v>23.4</v>
      </c>
      <c r="R21" s="49">
        <f>13.41</f>
        <v>13.41</v>
      </c>
      <c r="S21" s="46">
        <f t="shared" si="4"/>
        <v>40.230000000000004</v>
      </c>
      <c r="T21" s="44" t="s">
        <v>94</v>
      </c>
      <c r="U21" s="29" t="s">
        <v>61</v>
      </c>
      <c r="V21" s="30" t="s">
        <v>26</v>
      </c>
    </row>
    <row r="22" spans="1:23" s="5" customFormat="1" ht="65.099999999999994" customHeight="1">
      <c r="A22" s="20">
        <v>20</v>
      </c>
      <c r="B22" s="56" t="s">
        <v>95</v>
      </c>
      <c r="C22" s="56" t="s">
        <v>74</v>
      </c>
      <c r="D22" s="57" t="s">
        <v>33</v>
      </c>
      <c r="E22" s="56" t="s">
        <v>96</v>
      </c>
      <c r="F22" s="58" t="s">
        <v>93</v>
      </c>
      <c r="G22" s="59">
        <v>0.87</v>
      </c>
      <c r="H22" s="59">
        <v>0.54</v>
      </c>
      <c r="I22" s="59">
        <v>0.31</v>
      </c>
      <c r="J22" s="59">
        <v>1</v>
      </c>
      <c r="K22" s="59">
        <v>12</v>
      </c>
      <c r="L22" s="60">
        <f t="shared" si="5"/>
        <v>12</v>
      </c>
      <c r="M22" s="61">
        <v>355</v>
      </c>
      <c r="N22" s="26">
        <f t="shared" si="0"/>
        <v>4260</v>
      </c>
      <c r="O22" s="62">
        <f t="shared" si="2"/>
        <v>1.7476560000000001</v>
      </c>
      <c r="P22" s="59">
        <v>7.8</v>
      </c>
      <c r="Q22" s="60">
        <f t="shared" si="3"/>
        <v>93.6</v>
      </c>
      <c r="R22" s="59">
        <f>13.41</f>
        <v>13.41</v>
      </c>
      <c r="S22" s="60">
        <f t="shared" si="4"/>
        <v>160.92000000000002</v>
      </c>
      <c r="T22" s="63" t="s">
        <v>94</v>
      </c>
      <c r="U22" s="29" t="s">
        <v>61</v>
      </c>
      <c r="V22" s="30" t="s">
        <v>26</v>
      </c>
    </row>
    <row r="23" spans="1:23" s="1" customFormat="1" ht="57" customHeight="1">
      <c r="A23" s="20">
        <v>21</v>
      </c>
      <c r="B23" s="21" t="s">
        <v>97</v>
      </c>
      <c r="C23" s="21" t="s">
        <v>74</v>
      </c>
      <c r="D23" s="24" t="s">
        <v>33</v>
      </c>
      <c r="E23" s="21" t="s">
        <v>98</v>
      </c>
      <c r="F23" s="23" t="s">
        <v>99</v>
      </c>
      <c r="G23" s="25">
        <v>0.72</v>
      </c>
      <c r="H23" s="25">
        <v>0.54</v>
      </c>
      <c r="I23" s="25">
        <v>0.31</v>
      </c>
      <c r="J23" s="25">
        <v>1</v>
      </c>
      <c r="K23" s="25">
        <v>92</v>
      </c>
      <c r="L23" s="39">
        <f t="shared" si="5"/>
        <v>92</v>
      </c>
      <c r="M23" s="40">
        <v>310</v>
      </c>
      <c r="N23" s="26">
        <f t="shared" si="0"/>
        <v>28520</v>
      </c>
      <c r="O23" s="27">
        <f t="shared" si="2"/>
        <v>11.088576000000002</v>
      </c>
      <c r="P23" s="25">
        <v>5.9</v>
      </c>
      <c r="Q23" s="39">
        <f t="shared" si="3"/>
        <v>542.80000000000007</v>
      </c>
      <c r="R23" s="25">
        <v>9.07</v>
      </c>
      <c r="S23" s="39">
        <f t="shared" si="4"/>
        <v>834.44</v>
      </c>
      <c r="T23" s="24" t="s">
        <v>88</v>
      </c>
      <c r="U23" s="29" t="s">
        <v>61</v>
      </c>
      <c r="V23" s="30" t="s">
        <v>26</v>
      </c>
    </row>
    <row r="24" spans="1:23" s="1" customFormat="1" ht="57" customHeight="1">
      <c r="A24" s="20">
        <v>22</v>
      </c>
      <c r="B24" s="21" t="s">
        <v>100</v>
      </c>
      <c r="C24" s="21" t="s">
        <v>74</v>
      </c>
      <c r="D24" s="24" t="s">
        <v>33</v>
      </c>
      <c r="E24" s="21" t="s">
        <v>101</v>
      </c>
      <c r="F24" s="23" t="s">
        <v>99</v>
      </c>
      <c r="G24" s="25">
        <v>0.72</v>
      </c>
      <c r="H24" s="25">
        <v>0.54</v>
      </c>
      <c r="I24" s="25">
        <v>0.31</v>
      </c>
      <c r="J24" s="25">
        <v>1</v>
      </c>
      <c r="K24" s="25">
        <v>92</v>
      </c>
      <c r="L24" s="39">
        <f t="shared" si="5"/>
        <v>92</v>
      </c>
      <c r="M24" s="40">
        <v>335</v>
      </c>
      <c r="N24" s="26">
        <f t="shared" si="0"/>
        <v>30820</v>
      </c>
      <c r="O24" s="27">
        <f t="shared" si="2"/>
        <v>11.088576000000002</v>
      </c>
      <c r="P24" s="25">
        <v>5.9</v>
      </c>
      <c r="Q24" s="39">
        <f t="shared" si="3"/>
        <v>542.80000000000007</v>
      </c>
      <c r="R24" s="25">
        <v>9.07</v>
      </c>
      <c r="S24" s="39">
        <f t="shared" si="4"/>
        <v>834.44</v>
      </c>
      <c r="T24" s="24" t="s">
        <v>88</v>
      </c>
      <c r="U24" s="29" t="s">
        <v>61</v>
      </c>
      <c r="V24" s="30" t="s">
        <v>26</v>
      </c>
    </row>
    <row r="25" spans="1:23" s="1" customFormat="1" ht="57" customHeight="1">
      <c r="A25" s="20">
        <v>23</v>
      </c>
      <c r="B25" s="24" t="s">
        <v>102</v>
      </c>
      <c r="C25" s="24" t="s">
        <v>74</v>
      </c>
      <c r="D25" s="24" t="s">
        <v>33</v>
      </c>
      <c r="E25" s="24" t="s">
        <v>103</v>
      </c>
      <c r="F25" s="23" t="s">
        <v>83</v>
      </c>
      <c r="G25" s="25">
        <v>0.82</v>
      </c>
      <c r="H25" s="25">
        <v>0.54</v>
      </c>
      <c r="I25" s="25">
        <v>0.31</v>
      </c>
      <c r="J25" s="25">
        <v>1</v>
      </c>
      <c r="K25" s="25">
        <v>71</v>
      </c>
      <c r="L25" s="39">
        <f t="shared" si="5"/>
        <v>71</v>
      </c>
      <c r="M25" s="40">
        <v>347</v>
      </c>
      <c r="N25" s="26">
        <f t="shared" si="0"/>
        <v>24637</v>
      </c>
      <c r="O25" s="27">
        <f t="shared" si="2"/>
        <v>9.7460280000000008</v>
      </c>
      <c r="P25" s="20">
        <v>7.2</v>
      </c>
      <c r="Q25" s="39">
        <f t="shared" si="3"/>
        <v>511.2</v>
      </c>
      <c r="R25" s="20">
        <v>12.62</v>
      </c>
      <c r="S25" s="39">
        <f t="shared" si="4"/>
        <v>896.02</v>
      </c>
      <c r="T25" s="21" t="s">
        <v>88</v>
      </c>
      <c r="U25" s="29" t="s">
        <v>61</v>
      </c>
      <c r="V25" s="30" t="s">
        <v>26</v>
      </c>
    </row>
    <row r="26" spans="1:23" s="1" customFormat="1" ht="57" customHeight="1">
      <c r="A26" s="20">
        <v>24</v>
      </c>
      <c r="B26" s="23" t="s">
        <v>104</v>
      </c>
      <c r="C26" s="21" t="s">
        <v>74</v>
      </c>
      <c r="D26" s="22" t="s">
        <v>21</v>
      </c>
      <c r="E26" s="21" t="s">
        <v>105</v>
      </c>
      <c r="F26" s="22" t="s">
        <v>106</v>
      </c>
      <c r="G26" s="38">
        <v>1</v>
      </c>
      <c r="H26" s="38">
        <v>0.65</v>
      </c>
      <c r="I26" s="20">
        <v>2.35</v>
      </c>
      <c r="J26" s="20">
        <v>100</v>
      </c>
      <c r="K26" s="20">
        <v>2</v>
      </c>
      <c r="L26" s="39">
        <f t="shared" si="5"/>
        <v>200</v>
      </c>
      <c r="M26" s="40">
        <v>100</v>
      </c>
      <c r="N26" s="26">
        <f t="shared" si="0"/>
        <v>20000</v>
      </c>
      <c r="O26" s="27">
        <f>G26*H26*I26*K26+2</f>
        <v>5.0549999999999997</v>
      </c>
      <c r="P26" s="20">
        <v>4.5999999999999996</v>
      </c>
      <c r="Q26" s="39">
        <f t="shared" si="3"/>
        <v>919.99999999999989</v>
      </c>
      <c r="R26" s="20">
        <v>535</v>
      </c>
      <c r="S26" s="39">
        <f t="shared" si="4"/>
        <v>1070</v>
      </c>
      <c r="T26" s="21" t="s">
        <v>107</v>
      </c>
      <c r="U26" s="29" t="s">
        <v>25</v>
      </c>
      <c r="V26" s="30" t="s">
        <v>26</v>
      </c>
    </row>
    <row r="27" spans="1:23" s="1" customFormat="1" ht="57" customHeight="1">
      <c r="A27" s="20">
        <v>25</v>
      </c>
      <c r="B27" s="24" t="s">
        <v>108</v>
      </c>
      <c r="C27" s="21" t="s">
        <v>74</v>
      </c>
      <c r="D27" s="24" t="s">
        <v>33</v>
      </c>
      <c r="E27" s="22" t="s">
        <v>109</v>
      </c>
      <c r="F27" s="22" t="s">
        <v>46</v>
      </c>
      <c r="G27" s="38">
        <v>0.65</v>
      </c>
      <c r="H27" s="38">
        <v>0.495</v>
      </c>
      <c r="I27" s="39">
        <v>0.26</v>
      </c>
      <c r="J27" s="20">
        <v>1</v>
      </c>
      <c r="K27" s="20">
        <v>48</v>
      </c>
      <c r="L27" s="39">
        <f t="shared" si="5"/>
        <v>48</v>
      </c>
      <c r="M27" s="26">
        <v>260</v>
      </c>
      <c r="N27" s="26">
        <f t="shared" si="0"/>
        <v>12480</v>
      </c>
      <c r="O27" s="27">
        <f t="shared" ref="O27:O33" si="6">G27*H27*I27*K27</f>
        <v>4.0154399999999999</v>
      </c>
      <c r="P27" s="25">
        <v>5.8</v>
      </c>
      <c r="Q27" s="39">
        <f t="shared" si="3"/>
        <v>278.39999999999998</v>
      </c>
      <c r="R27" s="25">
        <v>7.3</v>
      </c>
      <c r="S27" s="39">
        <f t="shared" si="4"/>
        <v>350.4</v>
      </c>
      <c r="T27" s="24" t="s">
        <v>110</v>
      </c>
      <c r="U27" s="29" t="s">
        <v>25</v>
      </c>
      <c r="V27" s="30" t="s">
        <v>26</v>
      </c>
    </row>
    <row r="28" spans="1:23" s="1" customFormat="1" ht="57" customHeight="1">
      <c r="A28" s="20">
        <v>26</v>
      </c>
      <c r="B28" s="24" t="s">
        <v>111</v>
      </c>
      <c r="C28" s="24" t="s">
        <v>74</v>
      </c>
      <c r="D28" s="24" t="s">
        <v>33</v>
      </c>
      <c r="E28" s="22" t="s">
        <v>112</v>
      </c>
      <c r="F28" s="23" t="s">
        <v>113</v>
      </c>
      <c r="G28" s="38">
        <v>0.85</v>
      </c>
      <c r="H28" s="38">
        <v>0.53</v>
      </c>
      <c r="I28" s="38">
        <v>0.29499999999999998</v>
      </c>
      <c r="J28" s="38">
        <v>1</v>
      </c>
      <c r="K28" s="38">
        <v>1</v>
      </c>
      <c r="L28" s="39">
        <f t="shared" si="5"/>
        <v>1</v>
      </c>
      <c r="M28" s="26">
        <v>410</v>
      </c>
      <c r="N28" s="26">
        <f t="shared" si="0"/>
        <v>410</v>
      </c>
      <c r="O28" s="27">
        <f t="shared" si="6"/>
        <v>0.1328975</v>
      </c>
      <c r="P28" s="20">
        <v>6.8</v>
      </c>
      <c r="Q28" s="39">
        <f t="shared" si="3"/>
        <v>6.8</v>
      </c>
      <c r="R28" s="20">
        <v>9.1999999999999993</v>
      </c>
      <c r="S28" s="39">
        <f t="shared" si="4"/>
        <v>9.1999999999999993</v>
      </c>
      <c r="T28" s="21" t="s">
        <v>114</v>
      </c>
      <c r="U28" s="29" t="s">
        <v>61</v>
      </c>
      <c r="V28" s="30" t="s">
        <v>26</v>
      </c>
    </row>
    <row r="29" spans="1:23" s="3" customFormat="1" ht="57" customHeight="1">
      <c r="A29" s="20">
        <v>27</v>
      </c>
      <c r="B29" s="64" t="s">
        <v>115</v>
      </c>
      <c r="C29" s="65" t="s">
        <v>20</v>
      </c>
      <c r="D29" s="24" t="s">
        <v>33</v>
      </c>
      <c r="E29" s="66" t="s">
        <v>116</v>
      </c>
      <c r="F29" s="65" t="s">
        <v>117</v>
      </c>
      <c r="G29" s="67">
        <v>0.87</v>
      </c>
      <c r="H29" s="67">
        <v>0.61499999999999999</v>
      </c>
      <c r="I29" s="67">
        <v>0.31</v>
      </c>
      <c r="J29" s="67">
        <v>1</v>
      </c>
      <c r="K29" s="67">
        <v>53</v>
      </c>
      <c r="L29" s="39">
        <f t="shared" si="5"/>
        <v>53</v>
      </c>
      <c r="M29" s="68">
        <v>421</v>
      </c>
      <c r="N29" s="26">
        <f t="shared" si="0"/>
        <v>22313</v>
      </c>
      <c r="O29" s="27">
        <f t="shared" si="6"/>
        <v>8.7908714999999997</v>
      </c>
      <c r="P29" s="69">
        <v>7.27</v>
      </c>
      <c r="Q29" s="39">
        <f t="shared" si="3"/>
        <v>385.31</v>
      </c>
      <c r="R29" s="69">
        <f>13.41</f>
        <v>13.41</v>
      </c>
      <c r="S29" s="39">
        <f t="shared" si="4"/>
        <v>710.73</v>
      </c>
      <c r="T29" s="24" t="s">
        <v>118</v>
      </c>
      <c r="U29" s="29" t="s">
        <v>61</v>
      </c>
      <c r="V29" s="30" t="s">
        <v>26</v>
      </c>
      <c r="W29" s="1"/>
    </row>
    <row r="30" spans="1:23" s="3" customFormat="1" ht="57" customHeight="1">
      <c r="A30" s="20">
        <v>28</v>
      </c>
      <c r="B30" s="64" t="s">
        <v>119</v>
      </c>
      <c r="C30" s="65" t="s">
        <v>20</v>
      </c>
      <c r="D30" s="24" t="s">
        <v>33</v>
      </c>
      <c r="E30" s="66" t="s">
        <v>120</v>
      </c>
      <c r="F30" s="65" t="s">
        <v>117</v>
      </c>
      <c r="G30" s="67">
        <v>0.87</v>
      </c>
      <c r="H30" s="67">
        <v>0.61499999999999999</v>
      </c>
      <c r="I30" s="67">
        <v>0.31</v>
      </c>
      <c r="J30" s="67">
        <v>1</v>
      </c>
      <c r="K30" s="67">
        <v>65</v>
      </c>
      <c r="L30" s="39">
        <f t="shared" si="5"/>
        <v>65</v>
      </c>
      <c r="M30" s="68">
        <v>430</v>
      </c>
      <c r="N30" s="26">
        <f t="shared" si="0"/>
        <v>27950</v>
      </c>
      <c r="O30" s="27">
        <f t="shared" si="6"/>
        <v>10.781257500000001</v>
      </c>
      <c r="P30" s="69">
        <v>7.27</v>
      </c>
      <c r="Q30" s="39">
        <f t="shared" si="3"/>
        <v>472.54999999999995</v>
      </c>
      <c r="R30" s="69">
        <f>13.41</f>
        <v>13.41</v>
      </c>
      <c r="S30" s="39">
        <f t="shared" si="4"/>
        <v>871.65</v>
      </c>
      <c r="T30" s="24" t="s">
        <v>121</v>
      </c>
      <c r="U30" s="29" t="s">
        <v>61</v>
      </c>
      <c r="V30" s="30" t="s">
        <v>26</v>
      </c>
      <c r="W30" s="1"/>
    </row>
    <row r="31" spans="1:23" s="3" customFormat="1" ht="57" customHeight="1">
      <c r="A31" s="20">
        <v>29</v>
      </c>
      <c r="B31" s="22" t="s">
        <v>122</v>
      </c>
      <c r="C31" s="21" t="s">
        <v>20</v>
      </c>
      <c r="D31" s="22" t="s">
        <v>21</v>
      </c>
      <c r="E31" s="21" t="s">
        <v>123</v>
      </c>
      <c r="F31" s="23" t="s">
        <v>23</v>
      </c>
      <c r="G31" s="38">
        <v>1.03</v>
      </c>
      <c r="H31" s="38">
        <v>0.53</v>
      </c>
      <c r="I31" s="38">
        <v>0.22</v>
      </c>
      <c r="J31" s="38">
        <v>7</v>
      </c>
      <c r="K31" s="39">
        <v>76</v>
      </c>
      <c r="L31" s="39">
        <f t="shared" si="5"/>
        <v>532</v>
      </c>
      <c r="M31" s="26">
        <v>52</v>
      </c>
      <c r="N31" s="26">
        <f t="shared" si="0"/>
        <v>27664</v>
      </c>
      <c r="O31" s="27">
        <f t="shared" si="6"/>
        <v>9.1274480000000011</v>
      </c>
      <c r="P31" s="20">
        <v>2.6</v>
      </c>
      <c r="Q31" s="39">
        <f t="shared" si="3"/>
        <v>1383.2</v>
      </c>
      <c r="R31" s="20">
        <v>19.36</v>
      </c>
      <c r="S31" s="39">
        <f t="shared" si="4"/>
        <v>1471.36</v>
      </c>
      <c r="T31" s="21" t="s">
        <v>24</v>
      </c>
      <c r="U31" s="70" t="s">
        <v>25</v>
      </c>
      <c r="V31" s="30" t="s">
        <v>26</v>
      </c>
      <c r="W31" s="1"/>
    </row>
    <row r="32" spans="1:23" s="6" customFormat="1" ht="57" customHeight="1">
      <c r="A32" s="20">
        <v>30</v>
      </c>
      <c r="B32" s="21" t="s">
        <v>124</v>
      </c>
      <c r="C32" s="22" t="s">
        <v>20</v>
      </c>
      <c r="D32" s="22" t="s">
        <v>125</v>
      </c>
      <c r="E32" s="21" t="s">
        <v>126</v>
      </c>
      <c r="F32" s="22" t="s">
        <v>127</v>
      </c>
      <c r="G32" s="39">
        <v>0.55000000000000004</v>
      </c>
      <c r="H32" s="39">
        <v>0.495</v>
      </c>
      <c r="I32" s="20">
        <v>0.72499999999999998</v>
      </c>
      <c r="J32" s="20">
        <v>10</v>
      </c>
      <c r="K32" s="20">
        <f>60-28</f>
        <v>32</v>
      </c>
      <c r="L32" s="39">
        <f t="shared" ref="L32:L38" si="7">K32*J32</f>
        <v>320</v>
      </c>
      <c r="M32" s="40">
        <v>42</v>
      </c>
      <c r="N32" s="26">
        <f t="shared" si="0"/>
        <v>13440</v>
      </c>
      <c r="O32" s="27">
        <f t="shared" si="6"/>
        <v>6.3161999999999994</v>
      </c>
      <c r="P32" s="20">
        <v>1.8</v>
      </c>
      <c r="Q32" s="39">
        <f t="shared" ref="Q32:Q38" si="8">P32*L32</f>
        <v>576</v>
      </c>
      <c r="R32" s="20">
        <v>20.8</v>
      </c>
      <c r="S32" s="39">
        <f t="shared" ref="S32:S38" si="9">R32*K32</f>
        <v>665.6</v>
      </c>
      <c r="T32" s="24" t="s">
        <v>128</v>
      </c>
      <c r="U32" s="70" t="s">
        <v>25</v>
      </c>
      <c r="V32" s="30" t="s">
        <v>26</v>
      </c>
      <c r="W32" s="1"/>
    </row>
    <row r="33" spans="1:23" s="3" customFormat="1" ht="57" customHeight="1">
      <c r="A33" s="20">
        <v>31</v>
      </c>
      <c r="B33" s="21" t="s">
        <v>129</v>
      </c>
      <c r="C33" s="21" t="s">
        <v>20</v>
      </c>
      <c r="D33" s="22" t="s">
        <v>28</v>
      </c>
      <c r="E33" s="21" t="s">
        <v>130</v>
      </c>
      <c r="F33" s="22" t="s">
        <v>131</v>
      </c>
      <c r="G33" s="39">
        <v>0.48499999999999999</v>
      </c>
      <c r="H33" s="39">
        <v>0.43</v>
      </c>
      <c r="I33" s="39">
        <v>0.73499999999999999</v>
      </c>
      <c r="J33" s="39">
        <v>10</v>
      </c>
      <c r="K33" s="39">
        <v>20</v>
      </c>
      <c r="L33" s="39">
        <f t="shared" si="7"/>
        <v>200</v>
      </c>
      <c r="M33" s="40">
        <v>42</v>
      </c>
      <c r="N33" s="26">
        <f t="shared" si="0"/>
        <v>8400</v>
      </c>
      <c r="O33" s="27">
        <f t="shared" si="6"/>
        <v>3.0656849999999998</v>
      </c>
      <c r="P33" s="39">
        <v>1.8</v>
      </c>
      <c r="Q33" s="39">
        <f t="shared" si="8"/>
        <v>360</v>
      </c>
      <c r="R33" s="39">
        <v>21.14</v>
      </c>
      <c r="S33" s="39">
        <f t="shared" si="9"/>
        <v>422.8</v>
      </c>
      <c r="T33" s="21" t="s">
        <v>31</v>
      </c>
      <c r="U33" s="70" t="s">
        <v>25</v>
      </c>
      <c r="V33" s="30" t="s">
        <v>26</v>
      </c>
      <c r="W33" s="1"/>
    </row>
    <row r="34" spans="1:23" s="3" customFormat="1" ht="57" customHeight="1">
      <c r="A34" s="20">
        <v>32</v>
      </c>
      <c r="B34" s="71" t="s">
        <v>132</v>
      </c>
      <c r="C34" s="21" t="s">
        <v>74</v>
      </c>
      <c r="D34" s="21" t="s">
        <v>33</v>
      </c>
      <c r="E34" s="24" t="s">
        <v>133</v>
      </c>
      <c r="F34" s="72" t="s">
        <v>87</v>
      </c>
      <c r="G34" s="39">
        <v>1.06</v>
      </c>
      <c r="H34" s="39">
        <v>0.65</v>
      </c>
      <c r="I34" s="39">
        <v>2.35</v>
      </c>
      <c r="J34" s="39">
        <v>72</v>
      </c>
      <c r="K34" s="39">
        <v>4</v>
      </c>
      <c r="L34" s="39">
        <f t="shared" si="7"/>
        <v>288</v>
      </c>
      <c r="M34" s="40">
        <v>175</v>
      </c>
      <c r="N34" s="26">
        <f t="shared" si="0"/>
        <v>50400</v>
      </c>
      <c r="O34" s="27">
        <f>G34*H34*I34*K34+4</f>
        <v>10.476600000000001</v>
      </c>
      <c r="P34" s="20">
        <v>6.5</v>
      </c>
      <c r="Q34" s="39">
        <f t="shared" si="8"/>
        <v>1872</v>
      </c>
      <c r="R34" s="20">
        <v>9.8000000000000007</v>
      </c>
      <c r="S34" s="39">
        <f t="shared" si="9"/>
        <v>39.200000000000003</v>
      </c>
      <c r="T34" s="73" t="s">
        <v>134</v>
      </c>
      <c r="U34" s="70" t="s">
        <v>25</v>
      </c>
      <c r="V34" s="30" t="s">
        <v>26</v>
      </c>
      <c r="W34" s="1"/>
    </row>
    <row r="35" spans="1:23" s="3" customFormat="1" ht="57" customHeight="1">
      <c r="A35" s="20">
        <v>33</v>
      </c>
      <c r="B35" s="24" t="s">
        <v>135</v>
      </c>
      <c r="C35" s="22" t="s">
        <v>20</v>
      </c>
      <c r="D35" s="22" t="s">
        <v>28</v>
      </c>
      <c r="E35" s="22" t="s">
        <v>136</v>
      </c>
      <c r="F35" s="74" t="s">
        <v>137</v>
      </c>
      <c r="G35" s="38">
        <v>0.505</v>
      </c>
      <c r="H35" s="38">
        <v>0.435</v>
      </c>
      <c r="I35" s="38">
        <v>0.71499999999999997</v>
      </c>
      <c r="J35" s="20">
        <v>10</v>
      </c>
      <c r="K35" s="20">
        <v>38</v>
      </c>
      <c r="L35" s="39">
        <f t="shared" si="7"/>
        <v>380</v>
      </c>
      <c r="M35" s="40">
        <v>38</v>
      </c>
      <c r="N35" s="26">
        <f t="shared" si="0"/>
        <v>14440</v>
      </c>
      <c r="O35" s="27">
        <f>G35*H35*I35*K35</f>
        <v>5.9685697499999995</v>
      </c>
      <c r="P35" s="20">
        <v>1.33</v>
      </c>
      <c r="Q35" s="39">
        <f t="shared" si="8"/>
        <v>505.40000000000003</v>
      </c>
      <c r="R35" s="20">
        <v>22.1</v>
      </c>
      <c r="S35" s="39">
        <f t="shared" si="9"/>
        <v>839.80000000000007</v>
      </c>
      <c r="T35" s="21" t="s">
        <v>31</v>
      </c>
      <c r="U35" s="70" t="s">
        <v>25</v>
      </c>
      <c r="V35" s="30" t="s">
        <v>26</v>
      </c>
      <c r="W35" s="1"/>
    </row>
    <row r="36" spans="1:23" s="3" customFormat="1" ht="57" customHeight="1">
      <c r="A36" s="20">
        <v>34</v>
      </c>
      <c r="B36" s="21" t="s">
        <v>138</v>
      </c>
      <c r="C36" s="21" t="s">
        <v>20</v>
      </c>
      <c r="D36" s="24" t="s">
        <v>33</v>
      </c>
      <c r="E36" s="21" t="s">
        <v>139</v>
      </c>
      <c r="F36" s="22" t="s">
        <v>35</v>
      </c>
      <c r="G36" s="39">
        <v>0.52</v>
      </c>
      <c r="H36" s="39">
        <v>0.51500000000000001</v>
      </c>
      <c r="I36" s="39">
        <v>0.28000000000000003</v>
      </c>
      <c r="J36" s="39">
        <v>1</v>
      </c>
      <c r="K36" s="39">
        <v>22</v>
      </c>
      <c r="L36" s="39">
        <f t="shared" si="7"/>
        <v>22</v>
      </c>
      <c r="M36" s="26">
        <v>176</v>
      </c>
      <c r="N36" s="26">
        <f t="shared" si="0"/>
        <v>3872</v>
      </c>
      <c r="O36" s="27">
        <f t="shared" ref="O36:O41" si="10">G36*H36*I36*K36</f>
        <v>1.6496480000000004</v>
      </c>
      <c r="P36" s="20">
        <v>3.6</v>
      </c>
      <c r="Q36" s="39">
        <f t="shared" si="8"/>
        <v>79.2</v>
      </c>
      <c r="R36" s="20">
        <v>4.91</v>
      </c>
      <c r="S36" s="39">
        <f t="shared" si="9"/>
        <v>108.02000000000001</v>
      </c>
      <c r="T36" s="21" t="s">
        <v>36</v>
      </c>
      <c r="U36" s="70" t="s">
        <v>25</v>
      </c>
      <c r="V36" s="30" t="s">
        <v>26</v>
      </c>
      <c r="W36" s="1"/>
    </row>
    <row r="37" spans="1:23" s="3" customFormat="1" ht="57" customHeight="1">
      <c r="A37" s="20">
        <v>35</v>
      </c>
      <c r="B37" s="21" t="s">
        <v>140</v>
      </c>
      <c r="C37" s="21" t="s">
        <v>74</v>
      </c>
      <c r="D37" s="21" t="s">
        <v>33</v>
      </c>
      <c r="E37" s="21" t="s">
        <v>141</v>
      </c>
      <c r="F37" s="22" t="s">
        <v>142</v>
      </c>
      <c r="G37" s="39">
        <v>0.61</v>
      </c>
      <c r="H37" s="39">
        <v>0.54</v>
      </c>
      <c r="I37" s="39">
        <v>0.31</v>
      </c>
      <c r="J37" s="39">
        <v>1</v>
      </c>
      <c r="K37" s="39">
        <f>100-72</f>
        <v>28</v>
      </c>
      <c r="L37" s="39">
        <f t="shared" si="7"/>
        <v>28</v>
      </c>
      <c r="M37" s="26">
        <v>240</v>
      </c>
      <c r="N37" s="26">
        <f t="shared" si="0"/>
        <v>6720</v>
      </c>
      <c r="O37" s="27">
        <f t="shared" si="10"/>
        <v>2.8591920000000002</v>
      </c>
      <c r="P37" s="20">
        <v>6.3</v>
      </c>
      <c r="Q37" s="39">
        <f t="shared" si="8"/>
        <v>176.4</v>
      </c>
      <c r="R37" s="20">
        <v>9.5</v>
      </c>
      <c r="S37" s="39">
        <f t="shared" si="9"/>
        <v>266</v>
      </c>
      <c r="T37" s="24" t="s">
        <v>143</v>
      </c>
      <c r="U37" s="70" t="s">
        <v>25</v>
      </c>
      <c r="V37" s="30" t="s">
        <v>26</v>
      </c>
      <c r="W37" s="1"/>
    </row>
    <row r="38" spans="1:23" s="3" customFormat="1" ht="57" customHeight="1">
      <c r="A38" s="20">
        <v>36</v>
      </c>
      <c r="B38" s="21" t="s">
        <v>144</v>
      </c>
      <c r="C38" s="21" t="s">
        <v>74</v>
      </c>
      <c r="D38" s="21" t="s">
        <v>33</v>
      </c>
      <c r="E38" s="21" t="s">
        <v>145</v>
      </c>
      <c r="F38" s="22" t="s">
        <v>142</v>
      </c>
      <c r="G38" s="39">
        <v>0.61</v>
      </c>
      <c r="H38" s="39">
        <v>0.54</v>
      </c>
      <c r="I38" s="39">
        <v>0.31</v>
      </c>
      <c r="J38" s="39">
        <v>1</v>
      </c>
      <c r="K38" s="39">
        <v>29</v>
      </c>
      <c r="L38" s="39">
        <f t="shared" si="7"/>
        <v>29</v>
      </c>
      <c r="M38" s="26">
        <v>260</v>
      </c>
      <c r="N38" s="26">
        <f t="shared" si="0"/>
        <v>7540</v>
      </c>
      <c r="O38" s="27">
        <f t="shared" si="10"/>
        <v>2.9613060000000004</v>
      </c>
      <c r="P38" s="20">
        <v>6.3</v>
      </c>
      <c r="Q38" s="39">
        <f t="shared" si="8"/>
        <v>182.7</v>
      </c>
      <c r="R38" s="20">
        <v>9.5</v>
      </c>
      <c r="S38" s="39">
        <f t="shared" si="9"/>
        <v>275.5</v>
      </c>
      <c r="T38" s="24" t="s">
        <v>143</v>
      </c>
      <c r="U38" s="70" t="s">
        <v>25</v>
      </c>
      <c r="V38" s="30" t="s">
        <v>26</v>
      </c>
      <c r="W38" s="1"/>
    </row>
    <row r="39" spans="1:23" s="4" customFormat="1" ht="72" customHeight="1">
      <c r="A39" s="20">
        <v>37</v>
      </c>
      <c r="B39" s="75" t="s">
        <v>146</v>
      </c>
      <c r="C39" s="76" t="s">
        <v>20</v>
      </c>
      <c r="D39" s="77" t="s">
        <v>28</v>
      </c>
      <c r="E39" s="78" t="s">
        <v>147</v>
      </c>
      <c r="F39" s="79" t="s">
        <v>148</v>
      </c>
      <c r="G39" s="80">
        <v>0.84</v>
      </c>
      <c r="H39" s="80">
        <v>0.48499999999999999</v>
      </c>
      <c r="I39" s="80">
        <v>0.55500000000000005</v>
      </c>
      <c r="J39" s="81">
        <v>7</v>
      </c>
      <c r="K39" s="81">
        <v>8</v>
      </c>
      <c r="L39" s="82">
        <f>J39*K39</f>
        <v>56</v>
      </c>
      <c r="M39" s="47">
        <v>60</v>
      </c>
      <c r="N39" s="26">
        <f t="shared" si="0"/>
        <v>3360</v>
      </c>
      <c r="O39" s="48">
        <f t="shared" si="10"/>
        <v>1.808856</v>
      </c>
      <c r="P39" s="83">
        <v>2.2999999999999998</v>
      </c>
      <c r="Q39" s="46">
        <f t="shared" ref="Q39:Q41" si="11">P39*L39</f>
        <v>128.79999999999998</v>
      </c>
      <c r="R39" s="83">
        <v>21</v>
      </c>
      <c r="S39" s="46">
        <f t="shared" ref="S39:S41" si="12">R39*K39</f>
        <v>168</v>
      </c>
      <c r="T39" s="75" t="s">
        <v>31</v>
      </c>
      <c r="U39" s="84" t="s">
        <v>25</v>
      </c>
      <c r="V39" s="85" t="s">
        <v>26</v>
      </c>
    </row>
    <row r="40" spans="1:23" s="7" customFormat="1" ht="72" customHeight="1">
      <c r="A40" s="20">
        <v>38</v>
      </c>
      <c r="B40" s="76" t="s">
        <v>149</v>
      </c>
      <c r="C40" s="76" t="s">
        <v>20</v>
      </c>
      <c r="D40" s="77" t="s">
        <v>28</v>
      </c>
      <c r="E40" s="78" t="s">
        <v>150</v>
      </c>
      <c r="F40" s="86" t="s">
        <v>151</v>
      </c>
      <c r="G40" s="82">
        <v>0.84499999999999997</v>
      </c>
      <c r="H40" s="82">
        <v>0.52</v>
      </c>
      <c r="I40" s="82">
        <v>0.57999999999999996</v>
      </c>
      <c r="J40" s="82">
        <v>7</v>
      </c>
      <c r="K40" s="82">
        <v>15</v>
      </c>
      <c r="L40" s="82">
        <f t="shared" ref="L40:L46" si="13">K40*J40</f>
        <v>105</v>
      </c>
      <c r="M40" s="47">
        <v>83</v>
      </c>
      <c r="N40" s="26">
        <f t="shared" si="0"/>
        <v>8715</v>
      </c>
      <c r="O40" s="87">
        <f t="shared" si="10"/>
        <v>3.8227799999999994</v>
      </c>
      <c r="P40" s="88">
        <v>3.1</v>
      </c>
      <c r="Q40" s="83">
        <f t="shared" si="11"/>
        <v>325.5</v>
      </c>
      <c r="R40" s="88">
        <v>30</v>
      </c>
      <c r="S40" s="83">
        <f t="shared" si="12"/>
        <v>450</v>
      </c>
      <c r="T40" s="76" t="s">
        <v>31</v>
      </c>
      <c r="U40" s="89" t="s">
        <v>25</v>
      </c>
      <c r="V40" s="85" t="s">
        <v>26</v>
      </c>
    </row>
    <row r="41" spans="1:23" s="4" customFormat="1" ht="72" customHeight="1">
      <c r="A41" s="20">
        <v>39</v>
      </c>
      <c r="B41" s="75" t="s">
        <v>152</v>
      </c>
      <c r="C41" s="77" t="s">
        <v>20</v>
      </c>
      <c r="D41" s="77" t="s">
        <v>28</v>
      </c>
      <c r="E41" s="78" t="s">
        <v>153</v>
      </c>
      <c r="F41" s="86" t="s">
        <v>53</v>
      </c>
      <c r="G41" s="82">
        <v>0.52</v>
      </c>
      <c r="H41" s="82">
        <v>0.47499999999999998</v>
      </c>
      <c r="I41" s="82">
        <v>0.745</v>
      </c>
      <c r="J41" s="90">
        <v>10</v>
      </c>
      <c r="K41" s="90">
        <v>150</v>
      </c>
      <c r="L41" s="82">
        <f t="shared" si="13"/>
        <v>1500</v>
      </c>
      <c r="M41" s="47">
        <v>69</v>
      </c>
      <c r="N41" s="26">
        <f t="shared" si="0"/>
        <v>103500</v>
      </c>
      <c r="O41" s="91">
        <f t="shared" si="10"/>
        <v>27.602249999999998</v>
      </c>
      <c r="P41" s="83">
        <v>2.4</v>
      </c>
      <c r="Q41" s="83">
        <f t="shared" si="11"/>
        <v>3600</v>
      </c>
      <c r="R41" s="83">
        <v>28</v>
      </c>
      <c r="S41" s="83">
        <f t="shared" si="12"/>
        <v>4200</v>
      </c>
      <c r="T41" s="75" t="s">
        <v>31</v>
      </c>
      <c r="U41" s="89" t="s">
        <v>25</v>
      </c>
      <c r="V41" s="85" t="s">
        <v>26</v>
      </c>
    </row>
    <row r="42" spans="1:23" s="4" customFormat="1" ht="72" customHeight="1">
      <c r="A42" s="20">
        <v>40</v>
      </c>
      <c r="B42" s="44" t="s">
        <v>154</v>
      </c>
      <c r="C42" s="52" t="s">
        <v>20</v>
      </c>
      <c r="D42" s="44" t="s">
        <v>33</v>
      </c>
      <c r="E42" s="92" t="s">
        <v>155</v>
      </c>
      <c r="F42" s="79" t="s">
        <v>64</v>
      </c>
      <c r="G42" s="80">
        <v>1</v>
      </c>
      <c r="H42" s="80">
        <v>0.6</v>
      </c>
      <c r="I42" s="80">
        <v>2.35</v>
      </c>
      <c r="J42" s="80">
        <v>68</v>
      </c>
      <c r="K42" s="80">
        <v>10</v>
      </c>
      <c r="L42" s="82">
        <f>J42*K42</f>
        <v>680</v>
      </c>
      <c r="M42" s="93">
        <v>143</v>
      </c>
      <c r="N42" s="26">
        <f t="shared" si="0"/>
        <v>97240</v>
      </c>
      <c r="O42" s="91">
        <f>G42*H42*I42*K42+10</f>
        <v>24.1</v>
      </c>
      <c r="P42" s="49">
        <v>4.0999999999999996</v>
      </c>
      <c r="Q42" s="46">
        <f t="shared" ref="Q42:Q46" si="14">P42*L42</f>
        <v>2787.9999999999995</v>
      </c>
      <c r="R42" s="49">
        <v>367.1</v>
      </c>
      <c r="S42" s="46">
        <f t="shared" ref="S42:S46" si="15">R42*K42</f>
        <v>3671</v>
      </c>
      <c r="T42" s="43" t="s">
        <v>156</v>
      </c>
      <c r="U42" s="89" t="s">
        <v>25</v>
      </c>
      <c r="V42" s="85" t="s">
        <v>26</v>
      </c>
    </row>
    <row r="43" spans="1:23" s="4" customFormat="1" ht="63" customHeight="1">
      <c r="A43" s="20">
        <v>41</v>
      </c>
      <c r="B43" s="44" t="s">
        <v>157</v>
      </c>
      <c r="C43" s="43" t="s">
        <v>74</v>
      </c>
      <c r="D43" s="94" t="s">
        <v>21</v>
      </c>
      <c r="E43" s="95" t="s">
        <v>158</v>
      </c>
      <c r="F43" s="86" t="s">
        <v>159</v>
      </c>
      <c r="G43" s="96">
        <v>1.02</v>
      </c>
      <c r="H43" s="96">
        <v>0.81</v>
      </c>
      <c r="I43" s="82">
        <v>2.35</v>
      </c>
      <c r="J43" s="90">
        <v>99</v>
      </c>
      <c r="K43" s="90">
        <v>1</v>
      </c>
      <c r="L43" s="82">
        <f t="shared" si="13"/>
        <v>99</v>
      </c>
      <c r="M43" s="47">
        <v>112</v>
      </c>
      <c r="N43" s="55">
        <f t="shared" si="0"/>
        <v>11088</v>
      </c>
      <c r="O43" s="48">
        <f t="shared" ref="O43:O46" si="16">G43*H43*I43*K43+1</f>
        <v>2.9415700000000005</v>
      </c>
      <c r="P43" s="49">
        <v>5.0999999999999996</v>
      </c>
      <c r="Q43" s="46">
        <f t="shared" si="14"/>
        <v>504.9</v>
      </c>
      <c r="R43" s="49">
        <v>548</v>
      </c>
      <c r="S43" s="46">
        <f t="shared" si="15"/>
        <v>548</v>
      </c>
      <c r="T43" s="43" t="s">
        <v>160</v>
      </c>
      <c r="U43" s="89" t="s">
        <v>25</v>
      </c>
      <c r="V43" s="85" t="s">
        <v>26</v>
      </c>
    </row>
    <row r="44" spans="1:23" s="4" customFormat="1" ht="63" customHeight="1">
      <c r="A44" s="20">
        <v>42</v>
      </c>
      <c r="B44" s="44" t="s">
        <v>161</v>
      </c>
      <c r="C44" s="43" t="s">
        <v>74</v>
      </c>
      <c r="D44" s="94" t="s">
        <v>21</v>
      </c>
      <c r="E44" s="95" t="s">
        <v>162</v>
      </c>
      <c r="F44" s="86" t="s">
        <v>159</v>
      </c>
      <c r="G44" s="96">
        <v>1.02</v>
      </c>
      <c r="H44" s="96">
        <v>0.81</v>
      </c>
      <c r="I44" s="90">
        <v>2.35</v>
      </c>
      <c r="J44" s="90">
        <v>100</v>
      </c>
      <c r="K44" s="90">
        <v>2</v>
      </c>
      <c r="L44" s="82">
        <f t="shared" si="13"/>
        <v>200</v>
      </c>
      <c r="M44" s="47">
        <v>122</v>
      </c>
      <c r="N44" s="55">
        <f t="shared" si="0"/>
        <v>24400</v>
      </c>
      <c r="O44" s="48">
        <f>G44*H44*I44*K44+2</f>
        <v>5.8831400000000009</v>
      </c>
      <c r="P44" s="49">
        <v>5.0999999999999996</v>
      </c>
      <c r="Q44" s="46">
        <f t="shared" si="14"/>
        <v>1019.9999999999999</v>
      </c>
      <c r="R44" s="49">
        <v>549</v>
      </c>
      <c r="S44" s="46">
        <f t="shared" si="15"/>
        <v>1098</v>
      </c>
      <c r="T44" s="43" t="s">
        <v>107</v>
      </c>
      <c r="U44" s="89" t="s">
        <v>25</v>
      </c>
      <c r="V44" s="85" t="s">
        <v>26</v>
      </c>
    </row>
    <row r="45" spans="1:23" s="4" customFormat="1" ht="63" customHeight="1">
      <c r="A45" s="20">
        <v>43</v>
      </c>
      <c r="B45" s="44" t="s">
        <v>163</v>
      </c>
      <c r="C45" s="43" t="s">
        <v>74</v>
      </c>
      <c r="D45" s="94" t="s">
        <v>21</v>
      </c>
      <c r="E45" s="95" t="s">
        <v>164</v>
      </c>
      <c r="F45" s="86" t="s">
        <v>165</v>
      </c>
      <c r="G45" s="96">
        <v>1.02</v>
      </c>
      <c r="H45" s="96">
        <v>0.85</v>
      </c>
      <c r="I45" s="82">
        <v>2.35</v>
      </c>
      <c r="J45" s="90">
        <v>100</v>
      </c>
      <c r="K45" s="90">
        <v>1</v>
      </c>
      <c r="L45" s="82">
        <f t="shared" si="13"/>
        <v>100</v>
      </c>
      <c r="M45" s="47">
        <v>122</v>
      </c>
      <c r="N45" s="55">
        <f t="shared" si="0"/>
        <v>12200</v>
      </c>
      <c r="O45" s="48">
        <f t="shared" si="16"/>
        <v>3.0374500000000002</v>
      </c>
      <c r="P45" s="49">
        <v>5.6</v>
      </c>
      <c r="Q45" s="46">
        <f t="shared" si="14"/>
        <v>560</v>
      </c>
      <c r="R45" s="49">
        <v>595</v>
      </c>
      <c r="S45" s="46">
        <f t="shared" si="15"/>
        <v>595</v>
      </c>
      <c r="T45" s="43" t="s">
        <v>160</v>
      </c>
      <c r="U45" s="89" t="s">
        <v>25</v>
      </c>
      <c r="V45" s="85" t="s">
        <v>26</v>
      </c>
    </row>
    <row r="46" spans="1:23" s="4" customFormat="1" ht="63" customHeight="1">
      <c r="A46" s="20">
        <v>44</v>
      </c>
      <c r="B46" s="44" t="s">
        <v>166</v>
      </c>
      <c r="C46" s="43" t="s">
        <v>74</v>
      </c>
      <c r="D46" s="94" t="s">
        <v>21</v>
      </c>
      <c r="E46" s="95" t="s">
        <v>167</v>
      </c>
      <c r="F46" s="86" t="s">
        <v>165</v>
      </c>
      <c r="G46" s="96">
        <v>1.02</v>
      </c>
      <c r="H46" s="96">
        <v>0.85</v>
      </c>
      <c r="I46" s="90">
        <v>2.35</v>
      </c>
      <c r="J46" s="90">
        <v>100</v>
      </c>
      <c r="K46" s="90">
        <v>1</v>
      </c>
      <c r="L46" s="82">
        <f t="shared" si="13"/>
        <v>100</v>
      </c>
      <c r="M46" s="47">
        <v>132</v>
      </c>
      <c r="N46" s="55">
        <f t="shared" si="0"/>
        <v>13200</v>
      </c>
      <c r="O46" s="48">
        <f t="shared" si="16"/>
        <v>3.0374500000000002</v>
      </c>
      <c r="P46" s="49">
        <v>5.6</v>
      </c>
      <c r="Q46" s="46">
        <f t="shared" si="14"/>
        <v>560</v>
      </c>
      <c r="R46" s="49">
        <v>595</v>
      </c>
      <c r="S46" s="46">
        <f t="shared" si="15"/>
        <v>595</v>
      </c>
      <c r="T46" s="43" t="s">
        <v>107</v>
      </c>
      <c r="U46" s="89" t="s">
        <v>25</v>
      </c>
      <c r="V46" s="85" t="s">
        <v>26</v>
      </c>
    </row>
    <row r="47" spans="1:23" s="8" customFormat="1" ht="90.95" customHeight="1">
      <c r="A47" s="108" t="s">
        <v>168</v>
      </c>
      <c r="B47" s="109"/>
      <c r="C47" s="98"/>
      <c r="D47" s="98"/>
      <c r="E47" s="97"/>
      <c r="F47" s="98"/>
      <c r="G47" s="98"/>
      <c r="H47" s="98"/>
      <c r="I47" s="98"/>
      <c r="J47" s="99"/>
      <c r="K47" s="99">
        <f>SUM(K3:K46)</f>
        <v>3279</v>
      </c>
      <c r="L47" s="99">
        <f>SUM(L3:L46)</f>
        <v>10389</v>
      </c>
      <c r="M47" s="100"/>
      <c r="N47" s="100">
        <f>SUM(N3:N46)</f>
        <v>1288237.5</v>
      </c>
      <c r="O47" s="101">
        <f>SUM(O3:O46)</f>
        <v>482.00229412499999</v>
      </c>
      <c r="P47" s="101"/>
      <c r="Q47" s="101">
        <f>SUM(Q3:Q42)</f>
        <v>37098.61</v>
      </c>
      <c r="R47" s="101"/>
      <c r="S47" s="101">
        <f>SUM(S3:S42)</f>
        <v>45234.899999999994</v>
      </c>
      <c r="T47" s="98"/>
      <c r="U47" s="98"/>
      <c r="V47" s="98"/>
    </row>
    <row r="49" spans="15:15" ht="48.95" customHeight="1">
      <c r="O49" s="16">
        <v>65</v>
      </c>
    </row>
    <row r="50" spans="15:15" ht="48.95" customHeight="1">
      <c r="O50" s="16">
        <f>O47/O49</f>
        <v>7.4154199096153848</v>
      </c>
    </row>
  </sheetData>
  <autoFilter ref="A1:V50" xr:uid="{00000000-0009-0000-0000-000000000000}"/>
  <mergeCells count="3">
    <mergeCell ref="A1:V1"/>
    <mergeCell ref="G2:I2"/>
    <mergeCell ref="A47:B47"/>
  </mergeCells>
  <pageMargins left="0.55000000000000004" right="0.75" top="0.31388888888888899" bottom="0.31388888888888899" header="0.5" footer="0.5"/>
  <pageSetup paperSize="9" scale="27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成品库存</vt:lpstr>
      <vt:lpstr>成品库存!Print_Area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t407</dc:creator>
  <cp:lastModifiedBy>t407</cp:lastModifiedBy>
  <dcterms:created xsi:type="dcterms:W3CDTF">2026-07-03T04:11:00Z</dcterms:created>
  <dcterms:modified xsi:type="dcterms:W3CDTF">2026-09-24T01:09:20Z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9EC958F01DC94CBB9407D49DA83398F3_12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